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<sst xmlns="http://schemas.openxmlformats.org/spreadsheetml/2006/main" count="34" uniqueCount="34">
  <si>
    <t>Karar Tablosu</t>
  </si>
  <si>
    <t>1. Girdi Verileri</t>
  </si>
  <si>
    <t>Mevcut Nakit</t>
  </si>
  <si>
    <t>Kişinin elindeki toplam nakit</t>
  </si>
  <si>
    <t>Aylık Gelir</t>
  </si>
  <si>
    <t>Kişinin aylık net geliri</t>
  </si>
  <si>
    <t>Ev Fiyatı</t>
  </si>
  <si>
    <t>Satın alınmak istenen evin fiyatı</t>
  </si>
  <si>
    <t>Aylık Kredi Faizi</t>
  </si>
  <si>
    <t>Konut kredisi aylık faiz oranı</t>
  </si>
  <si>
    <t>Kredi Vadesi</t>
  </si>
  <si>
    <t>Aylık kredi vadesi</t>
  </si>
  <si>
    <t>Alternatif Yatırım Getirisi (Aylık)</t>
  </si>
  <si>
    <t>Nakdin alternatif bir yatırımda (faiz) aylık getirisi</t>
  </si>
  <si>
    <t>Mevcut Kira Gideri</t>
  </si>
  <si>
    <t>Kişinin şu an oturduğu eve ödediği kira</t>
  </si>
  <si>
    <t>Beklenen Kira Geliri</t>
  </si>
  <si>
    <t>Satın alınacak evin kiraya verilmesi durumunda beklenen kira geliri</t>
  </si>
  <si>
    <t>2. Hesaplamalar</t>
  </si>
  <si>
    <t>Kredi Tutarı</t>
  </si>
  <si>
    <t>Ev alabilmek için kullanılması gereken kredi miktarı</t>
  </si>
  <si>
    <t>Aylık Taksit</t>
  </si>
  <si>
    <t>Kredi aylık ödeme tutarı</t>
  </si>
  <si>
    <t>Toplam Kredi Maliyeti</t>
  </si>
  <si>
    <t>Vade sonunda ödenen toplam miktar</t>
  </si>
  <si>
    <t>Nakit Fırsat Maliyeti</t>
  </si>
  <si>
    <t>Mevcut paranın yatırım ile değerlendirilmesi sonucunda kredi dönemi sonundaki toplam miktarı (basit faiz mantığı ile hesaplandı)</t>
  </si>
  <si>
    <t>3. Karar Panosu (Çıktılar)</t>
  </si>
  <si>
    <t>Ev Al vs. Alma</t>
  </si>
  <si>
    <t>Aylık Taksit bütçeye uygun mu?</t>
  </si>
  <si>
    <t>Peşin vs. Kredi</t>
  </si>
  <si>
    <t>Kredi Faizi ile Alternatif Getiri karşılaştırması</t>
  </si>
  <si>
    <t>Eve Taşın vs. Kiraya Ver</t>
  </si>
  <si>
    <t>Mevcut Kira ile Beklenen Kira karşılaştırması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</si>
</sst>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 &quot;₺&quot;"/>
  </numFmts>
  <fonts count="9">
    <font>
      <sz val="10.0"/>
      <color rgb="FF000000"/>
      <name val="Arial"/>
      <scheme val="minor"/>
    </font>
    <font>
      <b/>
      <sz val="16.0"/>
      <color rgb="FFFFFFFF"/>
      <name val="Calibri"/>
    </font>
    <font>
      <sz val="12.0"/>
      <color theme="1"/>
      <name val="Calibri"/>
    </font>
    <font>
      <b/>
      <sz val="14.0"/>
      <color rgb="FFFFFFFF"/>
      <name val="Calibri"/>
    </font>
    <font/>
    <font>
      <sz val="12.0"/>
      <color rgb="FF1A1B20"/>
      <name val="Calibri"/>
    </font>
    <font>
      <b/>
      <sz val="12.0"/>
      <color rgb="FF000000"/>
      <name val="Calibri"/>
    </font>
    <font>
      <b/>
      <sz val="12.0"/>
      <color rgb="FF1A1B20"/>
      <name val="Calibri"/>
    </font>
    <font>
      <b/>
      <sz val="14.0"/>
      <color rgb="FF1A1B2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767680"/>
        <bgColor rgb="FF767680"/>
      </patternFill>
    </fill>
    <fill>
      <patternFill patternType="solid">
        <fgColor rgb="FFF9F8FF"/>
        <bgColor rgb="FFF9F8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767680"/>
      </left>
      <top style="thin">
        <color rgb="FF767680"/>
      </top>
      <bottom style="thin">
        <color rgb="FF767680"/>
      </bottom>
    </border>
    <border>
      <top style="thin">
        <color rgb="FF767680"/>
      </top>
      <bottom style="thin">
        <color rgb="FF767680"/>
      </bottom>
    </border>
    <border>
      <right style="thin">
        <color rgb="FF767680"/>
      </right>
      <top style="thin">
        <color rgb="FF767680"/>
      </top>
      <bottom style="thin">
        <color rgb="FF767680"/>
      </bottom>
    </border>
    <border>
      <left style="thin">
        <color rgb="FF767680"/>
      </left>
      <right style="thin">
        <color rgb="FF767680"/>
      </right>
      <top style="thin">
        <color rgb="FF767680"/>
      </top>
      <bottom style="thin">
        <color rgb="FF76768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shrinkToFit="0" wrapText="1"/>
    </xf>
    <xf borderId="4" fillId="3" fontId="6" numFmtId="164" xfId="0" applyAlignment="1" applyBorder="1" applyFill="1" applyFont="1" applyNumberFormat="1">
      <alignment horizontal="right" shrinkToFit="0" wrapText="1"/>
    </xf>
    <xf borderId="4" fillId="3" fontId="5" numFmtId="0" xfId="0" applyAlignment="1" applyBorder="1" applyFill="1" applyFont="1">
      <alignment readingOrder="0" shrinkToFit="0" wrapText="1"/>
    </xf>
    <xf borderId="4" fillId="4" fontId="5" numFmtId="0" xfId="0" applyAlignment="1" applyBorder="1" applyFill="1" applyFont="1">
      <alignment shrinkToFit="0" wrapText="1"/>
    </xf>
    <xf borderId="4" fillId="4" fontId="6" numFmtId="164" xfId="0" applyAlignment="1" applyBorder="1" applyFill="1" applyFont="1" applyNumberFormat="1">
      <alignment horizontal="right" shrinkToFit="0" wrapText="1"/>
    </xf>
    <xf borderId="4" fillId="4" fontId="5" numFmtId="0" xfId="0" applyAlignment="1" applyBorder="1" applyFill="1" applyFont="1">
      <alignment readingOrder="0" shrinkToFit="0" wrapText="1"/>
    </xf>
    <xf borderId="4" fillId="4" fontId="6" numFmtId="10" xfId="0" applyAlignment="1" applyBorder="1" applyFill="1" applyFont="1" applyNumberFormat="1">
      <alignment horizontal="right" shrinkToFit="0" wrapText="1"/>
    </xf>
    <xf borderId="4" fillId="3" fontId="6" numFmtId="1" xfId="0" applyAlignment="1" applyBorder="1" applyFill="1" applyFont="1" applyNumberFormat="1">
      <alignment horizontal="right" shrinkToFit="0" wrapText="1"/>
    </xf>
    <xf borderId="4" fillId="3" fontId="7" numFmtId="164" xfId="0" applyAlignment="1" applyBorder="1" applyFill="1" applyFont="1" applyNumberFormat="1">
      <alignment horizontal="right" shrinkToFit="0" wrapText="1"/>
    </xf>
    <xf borderId="4" fillId="4" fontId="7" numFmtId="164" xfId="0" applyAlignment="1" applyBorder="1" applyFill="1" applyFont="1" applyNumberFormat="1">
      <alignment horizontal="right" shrinkToFit="0" wrapText="1"/>
    </xf>
    <xf borderId="4" fillId="3" fontId="8" numFmtId="0" xfId="0" applyAlignment="1" applyBorder="1" applyFill="1" applyFont="1">
      <alignment horizontal="center" shrinkToFit="0" wrapText="1"/>
    </xf>
    <xf borderId="4" fillId="4" fontId="8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39.38"/>
    <col customWidth="1" min="3" max="3" width="62.75"/>
  </cols>
  <sheetData>
    <row r="1">
      <c r="A1" s="1" t="s">
        <v>0</v>
      </c>
    </row>
    <row r="2">
      <c r="A2" s="2"/>
      <c r="B2" s="2"/>
      <c r="C2" s="2"/>
    </row>
    <row r="3">
      <c r="A3" s="3" t="s">
        <v>1</v>
      </c>
      <c r="B3" s="4"/>
      <c r="C3" s="5"/>
    </row>
    <row r="4">
      <c r="A4" s="6" t="s">
        <v>2</v>
      </c>
      <c r="B4" s="7">
        <v>1000000.0</v>
      </c>
      <c r="C4" s="8" t="s">
        <v>3</v>
      </c>
    </row>
    <row r="5">
      <c r="A5" s="9" t="s">
        <v>4</v>
      </c>
      <c r="B5" s="10">
        <v>100000.0</v>
      </c>
      <c r="C5" s="11" t="s">
        <v>5</v>
      </c>
    </row>
    <row r="6">
      <c r="A6" s="6" t="s">
        <v>6</v>
      </c>
      <c r="B6" s="7">
        <v>3000000.0</v>
      </c>
      <c r="C6" s="6" t="s">
        <v>7</v>
      </c>
    </row>
    <row r="7">
      <c r="A7" s="9" t="s">
        <v>8</v>
      </c>
      <c r="B7" s="12">
        <v>0.03</v>
      </c>
      <c r="C7" s="9" t="s">
        <v>9</v>
      </c>
    </row>
    <row r="8">
      <c r="A8" s="6" t="s">
        <v>10</v>
      </c>
      <c r="B8" s="13">
        <v>120.0</v>
      </c>
      <c r="C8" s="6" t="s">
        <v>11</v>
      </c>
    </row>
    <row r="9">
      <c r="A9" s="9" t="s">
        <v>12</v>
      </c>
      <c r="B9" s="12">
        <v>0.04</v>
      </c>
      <c r="C9" s="9" t="s">
        <v>13</v>
      </c>
    </row>
    <row r="10">
      <c r="A10" s="6" t="s">
        <v>14</v>
      </c>
      <c r="B10" s="7">
        <v>50000.0</v>
      </c>
      <c r="C10" s="6" t="s">
        <v>15</v>
      </c>
    </row>
    <row r="11">
      <c r="A11" s="9" t="s">
        <v>16</v>
      </c>
      <c r="B11" s="10">
        <v>60000.0</v>
      </c>
      <c r="C11" s="9" t="s">
        <v>17</v>
      </c>
    </row>
    <row r="12">
      <c r="A12" s="2"/>
      <c r="B12" s="2"/>
      <c r="C12" s="2"/>
    </row>
    <row r="13">
      <c r="A13" s="3" t="s">
        <v>18</v>
      </c>
      <c r="B13" s="4"/>
      <c r="C13" s="5"/>
    </row>
    <row r="14">
      <c r="A14" s="6" t="s">
        <v>19</v>
      </c>
      <c r="B14" s="14">
        <f>MAX(0, B6-B4)</f>
        <v>2000000</v>
      </c>
      <c r="C14" s="8" t="s">
        <v>20</v>
      </c>
    </row>
    <row r="15">
      <c r="A15" s="9" t="s">
        <v>21</v>
      </c>
      <c r="B15" s="15">
        <f>IF(B14&gt;0, PMT(B7, B8, -B14), 0)</f>
        <v>61779.83515</v>
      </c>
      <c r="C15" s="11" t="s">
        <v>22</v>
      </c>
    </row>
    <row r="16">
      <c r="A16" s="6" t="s">
        <v>23</v>
      </c>
      <c r="B16" s="14">
        <f>B15*B8</f>
        <v>7413580.219</v>
      </c>
      <c r="C16" s="8" t="s">
        <v>24</v>
      </c>
    </row>
    <row r="17">
      <c r="A17" s="9" t="s">
        <v>25</v>
      </c>
      <c r="B17" s="15">
        <f>B4+B4*B8*B9</f>
        <v>5800000</v>
      </c>
      <c r="C17" s="9" t="s">
        <v>26</v>
      </c>
    </row>
    <row r="18">
      <c r="A18" s="2"/>
      <c r="B18" s="2"/>
      <c r="C18" s="2"/>
    </row>
    <row r="19">
      <c r="A19" s="3" t="s">
        <v>27</v>
      </c>
      <c r="B19" s="4"/>
      <c r="C19" s="5"/>
    </row>
    <row r="20">
      <c r="A20" s="6" t="s">
        <v>28</v>
      </c>
      <c r="B20" s="16" t="str">
        <f>IF(B6&lt;=B4, "Peşin Ev Al", IF(B15&lt;=B5*2/3, "Krediyle Ev Al", "Ev Alma (Bütçe Yetersiz)"))</f>
        <v>Krediyle Ev Al</v>
      </c>
      <c r="C20" s="6" t="s">
        <v>29</v>
      </c>
    </row>
    <row r="21">
      <c r="A21" s="9" t="s">
        <v>30</v>
      </c>
      <c r="B21" s="17" t="str">
        <f>IF(B14=0, "Peşin (Krediye İhtiyaç Yok)", IF(B7&lt;B9, "Kredi Mantıklı", "Peşin Daha Mantıklı"))</f>
        <v>Kredi Mantıklı</v>
      </c>
      <c r="C21" s="9" t="s">
        <v>31</v>
      </c>
    </row>
    <row r="22">
      <c r="A22" s="6" t="s">
        <v>32</v>
      </c>
      <c r="B22" s="16" t="str">
        <f>IF(B10&gt;B11, "Eve Taşın", "Kiraya Ver")</f>
        <v>Kiraya Ver</v>
      </c>
      <c r="C22" s="6" t="s">
        <v>33</v>
      </c>
    </row>
  </sheetData>
  <mergeCells count="4">
    <mergeCell ref="A1:C1"/>
    <mergeCell ref="A3:C3"/>
    <mergeCell ref="A13:C13"/>
    <mergeCell ref="A19:C19"/>
  </mergeCells>
  <drawing r:id="rId1"/>
</worksheet>
</file>