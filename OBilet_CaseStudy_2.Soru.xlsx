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ler" sheetId="1" r:id="rId5"/>
    <sheet state="visible" name="İşlemler" sheetId="2" r:id="rId6"/>
    <sheet state="visible" name="Yönetim_Özeti_KPI" sheetId="3" r:id="rId7"/>
  </sheets>
  <definedNames/>
  <calcPr/>
</workbook>
</file>

<file path=xl/sharedStrings.xml><?xml version="1.0" encoding="utf-8"?>
<sst xmlns="http://schemas.openxmlformats.org/spreadsheetml/2006/main" count="382" uniqueCount="231">
  <si>
    <t>ULUSLARARASI LOJİSTİK OPERASYONLARI VE KÂR DAĞITIM İŞLEM DEFTERİ</t>
  </si>
  <si>
    <t>PERFORMANS VE GELİR PAYLAŞIMI MODELİ - MODEL PARAMETRELERİ VE ANA VERİLER</t>
  </si>
  <si>
    <t>ÜLKE MÜDÜRLÜKLERİ YÖNETİM ÖZETİ VE AĞIRLIKLANDIRILMIŞ KPI HEDEF KARTI</t>
  </si>
  <si>
    <t>Uluslararası lojistik operasyonları kâr dağıtım kuralları, maliyet/katsayı girdileri ve Ülke Müdürlüğü eşleşme ana tablosu.</t>
  </si>
  <si>
    <t>Konsolide kâr paylaşım mutabakatı, %50 Finansal - %30 Operasyonel - %20 Stratejik ağırlıklı performans ve prim modeli.</t>
  </si>
  <si>
    <t>Kâr Paylaşım Kuralı &amp; Oranları</t>
  </si>
  <si>
    <t>Parametre Kodu</t>
  </si>
  <si>
    <t>Değer / Oran</t>
  </si>
  <si>
    <t>Açıklama</t>
  </si>
  <si>
    <t>TR Merkez Payı (Hub Stratejik Fonu)</t>
  </si>
  <si>
    <t>Rotalara göre tonaj ve mesafe bazlı toplam kâr, merkez fonu (%20) ve Satan/Taşıyan şube kâr paylaşım hesaplamaları.</t>
  </si>
  <si>
    <t>ORAN_TR_HUB</t>
  </si>
  <si>
    <t>Toplam Üretilen Brüt Kâr</t>
  </si>
  <si>
    <t>Tüm rotalarda toplam kârın %20'si Türkiye Genel Merkezine (Hub) ayrılır.</t>
  </si>
  <si>
    <t>Şubeler Arası Dağıtılabilir Pay</t>
  </si>
  <si>
    <t>ORAN_DAGITILABILIR</t>
  </si>
  <si>
    <t>TR Hub Stratejik Fonu (%20)</t>
  </si>
  <si>
    <t>Kalan net pay (%80), rotada yer alan şubeler arasında paylaştırılır.</t>
  </si>
  <si>
    <t>Şubelere Dağıtılan Net Kâr</t>
  </si>
  <si>
    <t>Tek Şube Kendi İşi (Satan = Operasyon)</t>
  </si>
  <si>
    <t>İşlem ID</t>
  </si>
  <si>
    <t>ORAN_TEK_SUBE</t>
  </si>
  <si>
    <t>Filo Ort. Zamanında Teslimat (OTD)</t>
  </si>
  <si>
    <t>Toplam Taşınan Yük Tonajı</t>
  </si>
  <si>
    <t>Satış ve operasyon aynı şubedeyse, kalan net payın tamamı tek şubeye yazılır.</t>
  </si>
  <si>
    <t>Tarih</t>
  </si>
  <si>
    <t>Yeni Müşteri - Satan Şube Payı</t>
  </si>
  <si>
    <t>Çıkış Ülkesi</t>
  </si>
  <si>
    <t>ORAN_YENI_SATICI</t>
  </si>
  <si>
    <t>Varış Ülkesi</t>
  </si>
  <si>
    <t>Müşteri Profili</t>
  </si>
  <si>
    <t>Satan ve operasyon farklıysa, yeni müşteri kazanımında (P1, P2) satıcı şube payı.</t>
  </si>
  <si>
    <t>İşlemi Satan Şube</t>
  </si>
  <si>
    <t>Satan Ülke Müdürü</t>
  </si>
  <si>
    <t>Yeni Müşteri - Operasyon Şubesi Payı</t>
  </si>
  <si>
    <t>Operasyonu Yürüten Şube</t>
  </si>
  <si>
    <t>ORAN_YENI_OPERASYON</t>
  </si>
  <si>
    <t>Operasyon Ülke Müdürü</t>
  </si>
  <si>
    <t>Satan ve operasyon farklıysa, yeni müşteri operasyonunda (P1, P2) taşıyıcı şube payı.</t>
  </si>
  <si>
    <t>Yük Tonajı (Ton)</t>
  </si>
  <si>
    <t>Mesafe (Km)</t>
  </si>
  <si>
    <t>Düzenli Müşteri - Satan Şube Payı</t>
  </si>
  <si>
    <t>Zamanında Teslimat?</t>
  </si>
  <si>
    <t>ORAN_DUZENLI_SATICI</t>
  </si>
  <si>
    <t>Toplam Kâr (€)</t>
  </si>
  <si>
    <t>TR Hub Payı (%20) (€)</t>
  </si>
  <si>
    <t>Satan ve operasyon farklıysa, düzenli müşteri işlerinde (P3, P4) satıcı şube payı.</t>
  </si>
  <si>
    <t>Kalan Dağıtılabilir Pay (€)</t>
  </si>
  <si>
    <t>Paylaşım Türü</t>
  </si>
  <si>
    <t>Düzenli Müşteri - Operasyon Şubesi Payı</t>
  </si>
  <si>
    <t>Satan Şube Payı (€)</t>
  </si>
  <si>
    <t>ORAN_DUZENLI_OPERASYON</t>
  </si>
  <si>
    <t>Operasyon Şube Payı (€)</t>
  </si>
  <si>
    <t>Satan ve operasyon farklıysa, düzenli müşteri operasyonunda (P3, P4) taşıyıcı şube payı.</t>
  </si>
  <si>
    <t>Mutabakat Kontrolü (€)</t>
  </si>
  <si>
    <t>TRX-2026-001</t>
  </si>
  <si>
    <t>BİRİM OPERASYON VE HESAPLAMA KATSAYILARI</t>
  </si>
  <si>
    <t>Parametre Açıklaması</t>
  </si>
  <si>
    <t>Almanya</t>
  </si>
  <si>
    <t>Türkiye</t>
  </si>
  <si>
    <t>Birim Değer</t>
  </si>
  <si>
    <t>Para Birimi / Ölçü</t>
  </si>
  <si>
    <t>P1</t>
  </si>
  <si>
    <t>Kullanım Amacı</t>
  </si>
  <si>
    <t>Ton Başına Baz Navlun Kârı</t>
  </si>
  <si>
    <t>KATSAYI_TON_KAR</t>
  </si>
  <si>
    <t>DE-MUC</t>
  </si>
  <si>
    <t>€ / Ton</t>
  </si>
  <si>
    <t>Taşınan yük başına baz lojistik kârı</t>
  </si>
  <si>
    <t>Km Başına Operasyonel Kâr Katkısı</t>
  </si>
  <si>
    <t>KATSAYI_KM_KATKI</t>
  </si>
  <si>
    <t>€ / Km</t>
  </si>
  <si>
    <t>Mesafe ve rota zorluğu kâr çarpanı</t>
  </si>
  <si>
    <t>Gümrük &amp; Elleçleme Taban Kâr Primi</t>
  </si>
  <si>
    <t>KATSAYI_SABIT_PRIM</t>
  </si>
  <si>
    <t>€ / Sefer</t>
  </si>
  <si>
    <t>Her uluslararası operasyon başına taban katkı payı</t>
  </si>
  <si>
    <t>Gecikme Kesinti Oranı</t>
  </si>
  <si>
    <t>ORAN_GECIKME_PENALTI</t>
  </si>
  <si>
    <t>Oran</t>
  </si>
  <si>
    <t>Teslimatta gecikme yaşanırsa operasyonel kâr düzeltmesi</t>
  </si>
  <si>
    <t>ŞUBE VE ÜLKE MÜDÜRLÜĞÜ ANA VERİ EŞLEŞTİRME TABLOSU</t>
  </si>
  <si>
    <t>Şube Kodu</t>
  </si>
  <si>
    <t>Şube Adı</t>
  </si>
  <si>
    <t>Bulunduğu Ülke</t>
  </si>
  <si>
    <t>Bölge</t>
  </si>
  <si>
    <t>Ülke Müdürü</t>
  </si>
  <si>
    <t>Dönemsel Kâr Hedefi (€)</t>
  </si>
  <si>
    <t>Hedef Teslimat Oranı (OTD)</t>
  </si>
  <si>
    <t>Stratejik Hedef Puanı</t>
  </si>
  <si>
    <t>Geçen Yıl Kârı (€)</t>
  </si>
  <si>
    <t>Boş Dönüş Oranı</t>
  </si>
  <si>
    <t>Özmal Filo Oranı</t>
  </si>
  <si>
    <t>Almanya Şubesi</t>
  </si>
  <si>
    <t>Batı Avrupa</t>
  </si>
  <si>
    <t>Markus Weber</t>
  </si>
  <si>
    <t>BÖLÜM 1: ŞUBE VE ÜLKE MÜDÜRÜ KÂR VE HACİM KONSOLİDASYONU</t>
  </si>
  <si>
    <t>IT-MIL</t>
  </si>
  <si>
    <t>İtalya Şubesi</t>
  </si>
  <si>
    <t>İtalya</t>
  </si>
  <si>
    <t>Güney Avrupa</t>
  </si>
  <si>
    <t>Matteo Rossi</t>
  </si>
  <si>
    <t>Satan Şube Kârı (€)</t>
  </si>
  <si>
    <t>Operasyon Şube Kârı (€)</t>
  </si>
  <si>
    <t>TR Hub Payı (€)</t>
  </si>
  <si>
    <t>Toplam Şube Kârı (€)</t>
  </si>
  <si>
    <t>FR-LYO</t>
  </si>
  <si>
    <t>Toplam İşlem Seferi</t>
  </si>
  <si>
    <t>Fransa Şubesi</t>
  </si>
  <si>
    <t>Fransa</t>
  </si>
  <si>
    <t>Elleçlenen Tonaj (Ton)</t>
  </si>
  <si>
    <t>Jean Dupont</t>
  </si>
  <si>
    <t>ES-MAD</t>
  </si>
  <si>
    <t>İspanya Şubesi</t>
  </si>
  <si>
    <t>Alman Müdür</t>
  </si>
  <si>
    <t>İspanya</t>
  </si>
  <si>
    <t>Carlos Mendez</t>
  </si>
  <si>
    <t>PL-WAW</t>
  </si>
  <si>
    <t>Polonya Şubesi</t>
  </si>
  <si>
    <t>Polonya</t>
  </si>
  <si>
    <t>Doğu Avrupa</t>
  </si>
  <si>
    <t>Piotr Kowalski</t>
  </si>
  <si>
    <t>RO-BUC</t>
  </si>
  <si>
    <t>Romanya Şubesi</t>
  </si>
  <si>
    <t>Romanya</t>
  </si>
  <si>
    <t>Güneydoğu Avrupa</t>
  </si>
  <si>
    <t>Andrei Popescu</t>
  </si>
  <si>
    <t>TR-IST</t>
  </si>
  <si>
    <t>Türkiye Hub</t>
  </si>
  <si>
    <t>Merkez (Hub)</t>
  </si>
  <si>
    <t>Caner Yılmaz</t>
  </si>
  <si>
    <t>3 KUTULU NİHAİ ŞUBE MÜDÜRÜ PRİM SCORECARD MODEL PARAMETRELERİ</t>
  </si>
  <si>
    <t>KUTU 1: MERDİVENLİ FİNANSAL BÜYÜME (YoY) PARAMETRELERİ</t>
  </si>
  <si>
    <t>Kademe / Performans Aralığı</t>
  </si>
  <si>
    <t>Alt Sınır</t>
  </si>
  <si>
    <t>Üst Sınır</t>
  </si>
  <si>
    <t>Prim Oranı (% Kâr)</t>
  </si>
  <si>
    <t>Kademe 1 (&lt;%90)</t>
  </si>
  <si>
    <t>Asgari finansal başarı eşiğinin altı (Prim yok)</t>
  </si>
  <si>
    <t>Kademe 2 (%90 - %99.9)</t>
  </si>
  <si>
    <t>%90-%99.9 arası gerçekleşmede %5 kâr primi</t>
  </si>
  <si>
    <t>Kademe 3 (%100 - %114.9)</t>
  </si>
  <si>
    <t>%100-%114.9 arası gerçekleşmede %10 kâr primi</t>
  </si>
  <si>
    <t>Kademe 4 (%115 - %125)</t>
  </si>
  <si>
    <t>%115-%125 arası gerçekleşmede %15 kâr primi</t>
  </si>
  <si>
    <t>Kademe 5 (&gt;%125)</t>
  </si>
  <si>
    <t>Tavan aşımı / Bütçe dışı katsayı (%0)</t>
  </si>
  <si>
    <t>KUTU 2: HACİM (TON) X OTD KALİTE ÇARPANI PARAMETRELERİ</t>
  </si>
  <si>
    <t>Parametre Tanımı</t>
  </si>
  <si>
    <t>Değer / Çarpan</t>
  </si>
  <si>
    <t>Birim / Ölçü</t>
  </si>
  <si>
    <t>Kutu 2 Finansal Başarı Barajı</t>
  </si>
  <si>
    <t>KUTU2_BARAJ_ESIK</t>
  </si>
  <si>
    <t>Evet</t>
  </si>
  <si>
    <t>Kutu 2 hak edişi için asgari finansal baraj (&gt;=%90)</t>
  </si>
  <si>
    <t>Ton Başına Baz Prim Tutarı</t>
  </si>
  <si>
    <t>KUTU2_TON_PRIM</t>
  </si>
  <si>
    <t>Elleçlenen yük tonajı başına baz prim katsayısı</t>
  </si>
  <si>
    <t>OTD Mükemmel Çarpanı (&gt;=%95)</t>
  </si>
  <si>
    <t>KUTU2_OTD_MUKEMMEL</t>
  </si>
  <si>
    <t>Çarpan</t>
  </si>
  <si>
    <t>Zamanında teslimat %95 ve üzeri ise kalite çarpanı</t>
  </si>
  <si>
    <t>OTD Başarılı Çarpanı (%90 - %94.9)</t>
  </si>
  <si>
    <t>KUTU2_OTD_BASARILI</t>
  </si>
  <si>
    <t>Zamanında teslimat %90-%94.9 ise baz kalite çarpanı</t>
  </si>
  <si>
    <t>OTD Kabul Edilebilir (%85 - %89.9)</t>
  </si>
  <si>
    <t>KUTU2_OTD_KABUL</t>
  </si>
  <si>
    <t>Zamanında teslimat %85-%89.9 ise indirimli çarpan</t>
  </si>
  <si>
    <t>OTD Yetersiz (&lt;%85)</t>
  </si>
  <si>
    <t>KUTU2_OTD_YETERSIZ</t>
  </si>
  <si>
    <t>Zamanında teslimat %85 altı ise taban çarpan</t>
  </si>
  <si>
    <t>KUTU 3: SABİT STRATEJİK BOUNTY GÖREV PARAMETRELERİ</t>
  </si>
  <si>
    <t>Stratejik Bounty Görevi</t>
  </si>
  <si>
    <t>Hedef Eşik Şartı</t>
  </si>
  <si>
    <t>Sabit Prim (€)</t>
  </si>
  <si>
    <t>Boş Dönüş Optimizasyonu Bounty</t>
  </si>
  <si>
    <t>BOUNTY_BOS_DONUS</t>
  </si>
  <si>
    <t>Boş dönüş oranı &lt;%12 ise hak edilen sabit Euro primi</t>
  </si>
  <si>
    <t>Özmal Filo Kullanım Bounty</t>
  </si>
  <si>
    <t>BOUNTY_OZMAL_FILO</t>
  </si>
  <si>
    <t>Özmal araç kullanım oranı &gt;=%40 ise hak edilen sabit Euro primi</t>
  </si>
  <si>
    <t>Maksimum Stratejik Bounty</t>
  </si>
  <si>
    <t>BOUNTY_TOPLAM_MAX</t>
  </si>
  <si>
    <t>İki Görev Başarılı</t>
  </si>
  <si>
    <t>Her iki stratejik hedefin de tutturulması halinde toplam prim</t>
  </si>
  <si>
    <t>İtalyan Müdür</t>
  </si>
  <si>
    <t>Fransız Müdür</t>
  </si>
  <si>
    <t>İspanyol Müdür</t>
  </si>
  <si>
    <t>TRX-2026-002</t>
  </si>
  <si>
    <t>P2</t>
  </si>
  <si>
    <t>Polonyalı Müdür</t>
  </si>
  <si>
    <t>Romanyalı Müdür</t>
  </si>
  <si>
    <t>Türk Müdür</t>
  </si>
  <si>
    <t>TRX-2026-003</t>
  </si>
  <si>
    <t>P3</t>
  </si>
  <si>
    <t>GENEL TOPLAM</t>
  </si>
  <si>
    <t>BÖLÜM 2: NİHAİ 3 KUTULU ŞUBE MÜDÜRÜ PRİM SCORECARD TABLOSU</t>
  </si>
  <si>
    <t>Toplam Prim Modeli = [KUTU 1: Merdivenli Finansal Büyüme (%90-%125)] + [KUTU 2: Hacim x OTD Kalite Çarpanı (&gt;=%90 Finansal Baraj)] + [KUTU 3: Sabit Stratejik Bounty]</t>
  </si>
  <si>
    <t>GENEL BİLGİLER</t>
  </si>
  <si>
    <t>KUTU 1: MERDİVENLİ FİNANSAL BÜYÜME (YoY)</t>
  </si>
  <si>
    <t>KUTU 2: HACİM X OTD KALİTE ÇARPANI</t>
  </si>
  <si>
    <t>KUTU 3: STRATEJİK BOUNTY GÖREVLERİ</t>
  </si>
  <si>
    <t>TOPLAM PRİM</t>
  </si>
  <si>
    <t>Gerçekleşen Kâr (€)</t>
  </si>
  <si>
    <t>YoY Büyüme (%)</t>
  </si>
  <si>
    <t>Kutu 1 Oranı (%)</t>
  </si>
  <si>
    <t>KUTU 1 Prim (€)</t>
  </si>
  <si>
    <t>Gerçekleşen OTD (%)</t>
  </si>
  <si>
    <t>OTD Kalite Çarpanı</t>
  </si>
  <si>
    <t>Finansal Baraj (&gt;=%90)</t>
  </si>
  <si>
    <t>KUTU 2 Prim (€)</t>
  </si>
  <si>
    <t>KUTU 3 Bounty (€)</t>
  </si>
  <si>
    <t>TOPLAM HAK EDİLEN PRİM (€)</t>
  </si>
  <si>
    <t>TRX-2026-004</t>
  </si>
  <si>
    <t>P4</t>
  </si>
  <si>
    <t>TRX-2026-005</t>
  </si>
  <si>
    <t>Hayır</t>
  </si>
  <si>
    <t>TRX-2026-006</t>
  </si>
  <si>
    <t>TRX-2026-007</t>
  </si>
  <si>
    <t>TRX-2026-008</t>
  </si>
  <si>
    <t>TRX-2026-009</t>
  </si>
  <si>
    <t>TRX-2026-010</t>
  </si>
  <si>
    <t>TRX-2026-011</t>
  </si>
  <si>
    <t>TRX-2026-012</t>
  </si>
  <si>
    <t>TRX-2026-013</t>
  </si>
  <si>
    <t>TRX-2026-014</t>
  </si>
  <si>
    <t>TRX-2026-015</t>
  </si>
  <si>
    <t>-</t>
  </si>
  <si>
    <t>TRX-2026-016</t>
  </si>
  <si>
    <t>TRX-2026-017</t>
  </si>
  <si>
    <t>TRX-2026-018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</si>
</sst>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yyyy-mm-dd"/>
    <numFmt numFmtId="166" formatCode="€#,##0"/>
    <numFmt numFmtId="167" formatCode="€#,##0.00"/>
    <numFmt numFmtId="168" formatCode="#,##0.0 &quot;Ton&quot;"/>
    <numFmt numFmtId="169" formatCode="#,##0.0"/>
  </numFmts>
  <fonts count="14">
    <font>
      <sz val="10.0"/>
      <color rgb="FF000000"/>
      <name val="Arial"/>
      <scheme val="minor"/>
    </font>
    <font>
      <b/>
      <sz val="14.0"/>
      <color rgb="FF1A365D"/>
      <name val="Google Sans"/>
    </font>
    <font>
      <i/>
      <sz val="10.0"/>
      <color rgb="FF666666"/>
      <name val="Roboto"/>
    </font>
    <font>
      <b/>
      <sz val="10.0"/>
      <color rgb="FFFFFFFF"/>
      <name val="Google Sans"/>
    </font>
    <font>
      <color theme="1"/>
      <name val="Arial"/>
    </font>
    <font>
      <b/>
      <sz val="9.0"/>
      <color rgb="FF1A365D"/>
      <name val="Google Sans"/>
    </font>
    <font>
      <b/>
      <sz val="11.0"/>
      <color rgb="FF1A365D"/>
      <name val="Google Sans"/>
    </font>
    <font>
      <sz val="10.0"/>
      <color theme="1"/>
      <name val="Google Sans"/>
    </font>
    <font>
      <b/>
      <sz val="13.0"/>
      <color rgb="FF254677"/>
      <name val="Google Sans"/>
    </font>
    <font>
      <b/>
      <sz val="11.0"/>
      <color rgb="FFFFFFFF"/>
      <name val="Google Sans"/>
    </font>
    <font>
      <b/>
      <sz val="10.0"/>
      <color rgb="FF1A365D"/>
      <name val="Google Sans"/>
    </font>
    <font>
      <i/>
      <sz val="10.0"/>
      <color rgb="FF4C4C4C"/>
      <name val="Google Sans"/>
    </font>
    <font>
      <b/>
      <sz val="9.0"/>
      <color rgb="FFFFFFFF"/>
      <name val="Google Sans"/>
    </font>
    <font>
      <b/>
      <color rgb="FF1A365D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54677"/>
        <bgColor rgb="FF254677"/>
      </patternFill>
    </fill>
    <fill>
      <patternFill patternType="solid">
        <fgColor rgb="FFD9E2F8"/>
        <bgColor rgb="FFD9E2F8"/>
      </patternFill>
    </fill>
    <fill>
      <patternFill patternType="solid">
        <fgColor rgb="FFF4F6FA"/>
        <bgColor rgb="FFF4F6FA"/>
      </patternFill>
    </fill>
    <fill>
      <patternFill patternType="solid">
        <fgColor rgb="FF1A365D"/>
        <bgColor rgb="FF1A365D"/>
      </patternFill>
    </fill>
    <fill>
      <patternFill patternType="solid">
        <fgColor rgb="FF004B6E"/>
        <bgColor rgb="FF004B6E"/>
      </patternFill>
    </fill>
    <fill>
      <patternFill patternType="solid">
        <fgColor rgb="FF1F5B4A"/>
        <bgColor rgb="FF1F5B4A"/>
      </patternFill>
    </fill>
    <fill>
      <patternFill patternType="solid">
        <fgColor rgb="FF6E4B00"/>
        <bgColor rgb="FF6E4B00"/>
      </patternFill>
    </fill>
    <fill>
      <patternFill patternType="solid">
        <fgColor rgb="FF4A154B"/>
        <bgColor rgb="FF4A154B"/>
      </patternFill>
    </fill>
    <fill>
      <patternFill patternType="solid">
        <fgColor rgb="FF274472"/>
        <bgColor rgb="FF274472"/>
      </patternFill>
    </fill>
    <fill>
      <patternFill patternType="solid">
        <fgColor rgb="FF19647E"/>
        <bgColor rgb="FF19647E"/>
      </patternFill>
    </fill>
    <fill>
      <patternFill patternType="solid">
        <fgColor rgb="FF28725A"/>
        <bgColor rgb="FF28725A"/>
      </patternFill>
    </fill>
    <fill>
      <patternFill patternType="solid">
        <fgColor rgb="FF8C6218"/>
        <bgColor rgb="FF8C6218"/>
      </patternFill>
    </fill>
    <fill>
      <patternFill patternType="solid">
        <fgColor rgb="FF5E1C60"/>
        <bgColor rgb="FF5E1C60"/>
      </patternFill>
    </fill>
  </fills>
  <borders count="11">
    <border/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  <border>
      <top style="thin">
        <color rgb="FF99A5BF"/>
      </top>
      <bottom style="double">
        <color rgb="FF1A365D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0" fontId="4" numFmtId="0" xfId="0" applyFont="1"/>
    <xf borderId="0" fillId="0" fontId="4" numFmtId="164" xfId="0" applyFont="1" applyNumberFormat="1"/>
    <xf borderId="0" fillId="3" fontId="5" numFmtId="0" xfId="0" applyAlignment="1" applyFill="1" applyFont="1">
      <alignment horizontal="center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3" fontId="6" numFmtId="0" xfId="0" applyFill="1" applyFont="1"/>
    <xf borderId="0" fillId="0" fontId="4" numFmtId="165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4" fontId="8" numFmtId="166" xfId="0" applyAlignment="1" applyFill="1" applyFont="1" applyNumberFormat="1">
      <alignment horizontal="center"/>
    </xf>
    <xf borderId="0" fillId="0" fontId="4" numFmtId="166" xfId="0" applyFont="1" applyNumberFormat="1"/>
    <xf borderId="0" fillId="0" fontId="4" numFmtId="167" xfId="0" applyFont="1" applyNumberFormat="1"/>
    <xf borderId="1" fillId="2" fontId="3" numFmtId="0" xfId="0" applyAlignment="1" applyBorder="1" applyFill="1" applyFont="1">
      <alignment horizontal="center"/>
    </xf>
    <xf borderId="0" fillId="4" fontId="8" numFmtId="164" xfId="0" applyAlignment="1" applyFill="1" applyFont="1" applyNumberFormat="1">
      <alignment horizontal="center"/>
    </xf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horizontal="center"/>
    </xf>
    <xf borderId="0" fillId="4" fontId="8" numFmtId="168" xfId="0" applyAlignment="1" applyFill="1" applyFont="1" applyNumberFormat="1">
      <alignment horizontal="center"/>
    </xf>
    <xf borderId="4" fillId="0" fontId="4" numFmtId="166" xfId="0" applyAlignment="1" applyBorder="1" applyFont="1" applyNumberFormat="1">
      <alignment horizontal="right"/>
    </xf>
    <xf borderId="0" fillId="5" fontId="9" numFmtId="0" xfId="0" applyFill="1" applyFont="1"/>
    <xf borderId="5" fillId="0" fontId="4" numFmtId="164" xfId="0" applyAlignment="1" applyBorder="1" applyFont="1" applyNumberFormat="1">
      <alignment horizontal="right"/>
    </xf>
    <xf borderId="6" fillId="0" fontId="4" numFmtId="164" xfId="0" applyAlignment="1" applyBorder="1" applyFont="1" applyNumberFormat="1">
      <alignment horizontal="right"/>
    </xf>
    <xf borderId="7" fillId="0" fontId="4" numFmtId="166" xfId="0" applyAlignment="1" applyBorder="1" applyFont="1" applyNumberFormat="1">
      <alignment horizontal="right"/>
    </xf>
    <xf borderId="8" fillId="0" fontId="4" numFmtId="164" xfId="0" applyAlignment="1" applyBorder="1" applyFont="1" applyNumberFormat="1">
      <alignment horizontal="right"/>
    </xf>
    <xf borderId="9" fillId="0" fontId="4" numFmtId="164" xfId="0" applyAlignment="1" applyBorder="1" applyFont="1" applyNumberFormat="1">
      <alignment horizontal="right"/>
    </xf>
    <xf borderId="0" fillId="5" fontId="9" numFmtId="0" xfId="0" applyAlignment="1" applyFill="1" applyFont="1">
      <alignment horizontal="left"/>
    </xf>
    <xf borderId="0" fillId="3" fontId="10" numFmtId="0" xfId="0" applyAlignment="1" applyFill="1" applyFont="1">
      <alignment horizontal="left"/>
    </xf>
    <xf borderId="4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9" fillId="0" fontId="4" numFmtId="0" xfId="0" applyBorder="1" applyFont="1"/>
    <xf borderId="0" fillId="0" fontId="4" numFmtId="169" xfId="0" applyFont="1" applyNumberFormat="1"/>
    <xf borderId="5" fillId="0" fontId="4" numFmtId="0" xfId="0" applyBorder="1" applyFont="1"/>
    <xf borderId="0" fillId="0" fontId="4" numFmtId="3" xfId="0" applyFont="1" applyNumberFormat="1"/>
    <xf borderId="5" fillId="0" fontId="4" numFmtId="167" xfId="0" applyAlignment="1" applyBorder="1" applyFont="1" applyNumberFormat="1">
      <alignment horizontal="right"/>
    </xf>
    <xf borderId="5" fillId="0" fontId="4" numFmtId="2" xfId="0" applyAlignment="1" applyBorder="1" applyFont="1" applyNumberFormat="1">
      <alignment horizontal="right"/>
    </xf>
    <xf borderId="0" fillId="0" fontId="4" numFmtId="3" xfId="0" applyAlignment="1" applyFont="1" applyNumberFormat="1">
      <alignment horizontal="right"/>
    </xf>
    <xf borderId="8" fillId="0" fontId="4" numFmtId="0" xfId="0" applyBorder="1" applyFont="1"/>
    <xf borderId="8" fillId="0" fontId="4" numFmtId="2" xfId="0" applyAlignment="1" applyBorder="1" applyFont="1" applyNumberFormat="1">
      <alignment horizontal="right"/>
    </xf>
    <xf borderId="5" fillId="0" fontId="4" numFmtId="166" xfId="0" applyAlignment="1" applyBorder="1" applyFont="1" applyNumberFormat="1">
      <alignment horizontal="right"/>
    </xf>
    <xf borderId="8" fillId="0" fontId="4" numFmtId="166" xfId="0" applyAlignment="1" applyBorder="1" applyFont="1" applyNumberFormat="1">
      <alignment horizontal="right"/>
    </xf>
    <xf borderId="0" fillId="0" fontId="4" numFmtId="169" xfId="0" applyAlignment="1" applyFont="1" applyNumberFormat="1">
      <alignment horizontal="right"/>
    </xf>
    <xf borderId="0" fillId="3" fontId="10" numFmtId="0" xfId="0" applyAlignment="1" applyFill="1" applyFont="1">
      <alignment horizontal="center"/>
    </xf>
    <xf borderId="0" fillId="3" fontId="10" numFmtId="0" xfId="0" applyFill="1" applyFont="1"/>
    <xf borderId="0" fillId="3" fontId="10" numFmtId="166" xfId="0" applyFill="1" applyFont="1" applyNumberFormat="1"/>
    <xf borderId="0" fillId="3" fontId="10" numFmtId="3" xfId="0" applyAlignment="1" applyFill="1" applyFont="1" applyNumberFormat="1">
      <alignment horizontal="right"/>
    </xf>
    <xf borderId="0" fillId="3" fontId="10" numFmtId="169" xfId="0" applyAlignment="1" applyFill="1" applyFont="1" applyNumberFormat="1">
      <alignment horizontal="right"/>
    </xf>
    <xf borderId="0" fillId="3" fontId="11" numFmtId="0" xfId="0" applyFill="1" applyFont="1"/>
    <xf borderId="0" fillId="0" fontId="11" numFmtId="0" xfId="0" applyFont="1"/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8" fontId="3" numFmtId="0" xfId="0" applyAlignment="1" applyFill="1" applyFont="1">
      <alignment horizontal="center"/>
    </xf>
    <xf borderId="0" fillId="9" fontId="3" numFmtId="0" xfId="0" applyAlignment="1" applyFill="1" applyFont="1">
      <alignment horizontal="center"/>
    </xf>
    <xf borderId="0" fillId="10" fontId="12" numFmtId="0" xfId="0" applyAlignment="1" applyFill="1" applyFont="1">
      <alignment horizontal="center" shrinkToFit="0" wrapText="1"/>
    </xf>
    <xf borderId="0" fillId="10" fontId="12" numFmtId="166" xfId="0" applyAlignment="1" applyFill="1" applyFont="1" applyNumberFormat="1">
      <alignment horizontal="center" shrinkToFit="0" wrapText="1"/>
    </xf>
    <xf borderId="0" fillId="11" fontId="12" numFmtId="166" xfId="0" applyAlignment="1" applyFill="1" applyFont="1" applyNumberFormat="1">
      <alignment horizontal="center" shrinkToFit="0" wrapText="1"/>
    </xf>
    <xf borderId="0" fillId="11" fontId="12" numFmtId="0" xfId="0" applyAlignment="1" applyFill="1" applyFont="1">
      <alignment horizontal="center" shrinkToFit="0" wrapText="1"/>
    </xf>
    <xf borderId="0" fillId="12" fontId="12" numFmtId="0" xfId="0" applyAlignment="1" applyFill="1" applyFont="1">
      <alignment horizontal="center" shrinkToFit="0" wrapText="1"/>
    </xf>
    <xf borderId="0" fillId="12" fontId="12" numFmtId="3" xfId="0" applyAlignment="1" applyFill="1" applyFont="1" applyNumberFormat="1">
      <alignment horizontal="center" shrinkToFit="0" wrapText="1"/>
    </xf>
    <xf borderId="0" fillId="13" fontId="12" numFmtId="0" xfId="0" applyAlignment="1" applyFill="1" applyFont="1">
      <alignment horizontal="center" shrinkToFit="0" wrapText="1"/>
    </xf>
    <xf borderId="0" fillId="13" fontId="12" numFmtId="166" xfId="0" applyAlignment="1" applyFill="1" applyFont="1" applyNumberFormat="1">
      <alignment horizontal="center" shrinkToFit="0" wrapText="1"/>
    </xf>
    <xf borderId="0" fillId="14" fontId="12" numFmtId="0" xfId="0" applyAlignment="1" applyFill="1" applyFont="1">
      <alignment horizontal="center" shrinkToFit="0" wrapText="1"/>
    </xf>
    <xf borderId="0" fillId="0" fontId="4" numFmtId="166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4" numFmtId="164" xfId="0" applyAlignment="1" applyFont="1" applyNumberFormat="1">
      <alignment horizontal="center"/>
    </xf>
    <xf borderId="0" fillId="3" fontId="10" numFmtId="164" xfId="0" applyFill="1" applyFont="1" applyNumberFormat="1"/>
    <xf borderId="0" fillId="3" fontId="10" numFmtId="166" xfId="0" applyAlignment="1" applyFill="1" applyFont="1" applyNumberFormat="1">
      <alignment horizontal="right"/>
    </xf>
    <xf borderId="0" fillId="3" fontId="10" numFmtId="164" xfId="0" applyAlignment="1" applyFill="1" applyFont="1" applyNumberFormat="1">
      <alignment horizontal="right"/>
    </xf>
    <xf borderId="0" fillId="3" fontId="10" numFmtId="2" xfId="0" applyAlignment="1" applyFill="1" applyFont="1" applyNumberFormat="1">
      <alignment horizontal="right"/>
    </xf>
    <xf borderId="0" fillId="3" fontId="10" numFmtId="164" xfId="0" applyAlignment="1" applyFill="1" applyFont="1" applyNumberFormat="1">
      <alignment horizontal="center"/>
    </xf>
    <xf borderId="10" fillId="3" fontId="13" numFmtId="0" xfId="0" applyAlignment="1" applyBorder="1" applyFill="1" applyFont="1">
      <alignment horizontal="center"/>
    </xf>
    <xf borderId="10" fillId="3" fontId="13" numFmtId="166" xfId="0" applyBorder="1" applyFill="1" applyFont="1" applyNumberFormat="1"/>
    <xf borderId="10" fillId="3" fontId="13" numFmtId="164" xfId="0" applyBorder="1" applyFill="1" applyFont="1" applyNumberFormat="1"/>
    <xf borderId="10" fillId="3" fontId="13" numFmtId="166" xfId="0" applyAlignment="1" applyBorder="1" applyFill="1" applyFont="1" applyNumberFormat="1">
      <alignment horizontal="right"/>
    </xf>
    <xf borderId="10" fillId="3" fontId="13" numFmtId="169" xfId="0" applyAlignment="1" applyBorder="1" applyFill="1" applyFont="1" applyNumberFormat="1">
      <alignment horizontal="right"/>
    </xf>
    <xf borderId="10" fillId="3" fontId="13" numFmtId="164" xfId="0" applyAlignment="1" applyBorder="1" applyFill="1" applyFont="1" applyNumberFormat="1">
      <alignment horizontal="right"/>
    </xf>
    <xf borderId="10" fillId="3" fontId="13" numFmtId="2" xfId="0" applyAlignment="1" applyBorder="1" applyFill="1" applyFont="1" applyNumberFormat="1">
      <alignment horizontal="right"/>
    </xf>
    <xf borderId="0" fillId="3" fontId="7" numFmtId="0" xfId="0" applyAlignment="1" applyFill="1" applyFont="1">
      <alignment horizontal="center"/>
    </xf>
    <xf borderId="0" fillId="3" fontId="10" numFmtId="169" xfId="0" applyFill="1" applyFont="1" applyNumberFormat="1"/>
    <xf borderId="0" fillId="3" fontId="10" numFmtId="3" xfId="0" applyFill="1" applyFont="1" applyNumberFormat="1"/>
  </cellXfs>
  <cellStyles count="1">
    <cellStyle xfId="0" name="Normal" builtinId="0"/>
  </cellStyles>
  <dxfs count="2">
    <dxf>
      <font>
        <b/>
        <color rgb="FF1C5E21"/>
      </font>
      <fill>
        <patternFill patternType="solid">
          <fgColor rgb="FFD8EDD3"/>
          <bgColor rgb="FFD8EDD3"/>
        </patternFill>
      </fill>
      <border/>
    </dxf>
    <dxf>
      <font>
        <b/>
        <color rgb="FF8C1414"/>
      </font>
      <fill>
        <patternFill patternType="solid">
          <fgColor rgb="FFF4D1D1"/>
          <bgColor rgb="FFF4D1D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2.88"/>
    <col customWidth="1" min="2" max="2" width="22.5"/>
    <col customWidth="1" min="3" max="3" width="13.0"/>
    <col customWidth="1" min="4" max="4" width="64.13"/>
    <col customWidth="1" min="5" max="5" width="46.75"/>
    <col customWidth="1" min="6" max="6" width="18.88"/>
    <col customWidth="1" min="7" max="7" width="21.0"/>
    <col customWidth="1" min="8" max="8" width="16.5"/>
    <col customWidth="1" min="9" max="9" width="13.63"/>
    <col customWidth="1" min="10" max="10" width="13.13"/>
    <col customWidth="1" min="11" max="11" width="13.0"/>
  </cols>
  <sheetData>
    <row r="1" ht="15.75" customHeight="1">
      <c r="A1" s="1" t="s">
        <v>1</v>
      </c>
      <c r="B1" s="1"/>
      <c r="C1" s="1"/>
      <c r="D1" s="1"/>
      <c r="E1" s="1"/>
      <c r="F1" s="1"/>
      <c r="G1" s="1"/>
      <c r="H1" s="1"/>
    </row>
    <row r="2" ht="15.75" customHeight="1">
      <c r="A2" s="2" t="s">
        <v>3</v>
      </c>
      <c r="B2" s="2"/>
      <c r="C2" s="2"/>
      <c r="D2" s="2"/>
      <c r="E2" s="2"/>
      <c r="F2" s="2"/>
      <c r="G2" s="2"/>
      <c r="H2" s="2"/>
    </row>
    <row r="3" ht="15.75" customHeight="1"/>
    <row r="4" ht="15.75" customHeight="1">
      <c r="A4" s="3" t="s">
        <v>5</v>
      </c>
      <c r="B4" s="3" t="s">
        <v>6</v>
      </c>
      <c r="C4" s="3" t="s">
        <v>7</v>
      </c>
      <c r="D4" s="3" t="s">
        <v>8</v>
      </c>
    </row>
    <row r="5" ht="15.75" customHeight="1">
      <c r="A5" s="4" t="s">
        <v>9</v>
      </c>
      <c r="B5" s="4" t="s">
        <v>11</v>
      </c>
      <c r="C5" s="5">
        <v>0.2</v>
      </c>
      <c r="D5" s="4" t="s">
        <v>13</v>
      </c>
    </row>
    <row r="6" ht="15.75" customHeight="1">
      <c r="A6" s="4" t="s">
        <v>14</v>
      </c>
      <c r="B6" s="4" t="s">
        <v>15</v>
      </c>
      <c r="C6" s="5">
        <v>0.8</v>
      </c>
      <c r="D6" s="4" t="s">
        <v>17</v>
      </c>
    </row>
    <row r="7" ht="15.75" customHeight="1">
      <c r="A7" s="4" t="s">
        <v>19</v>
      </c>
      <c r="B7" s="4" t="s">
        <v>21</v>
      </c>
      <c r="C7" s="5">
        <v>1.0</v>
      </c>
      <c r="D7" s="4" t="s">
        <v>24</v>
      </c>
    </row>
    <row r="8" ht="15.75" customHeight="1">
      <c r="A8" s="4" t="s">
        <v>26</v>
      </c>
      <c r="B8" s="4" t="s">
        <v>28</v>
      </c>
      <c r="C8" s="5">
        <v>0.6</v>
      </c>
      <c r="D8" s="4" t="s">
        <v>31</v>
      </c>
    </row>
    <row r="9" ht="15.75" customHeight="1">
      <c r="A9" s="4" t="s">
        <v>34</v>
      </c>
      <c r="B9" s="4" t="s">
        <v>36</v>
      </c>
      <c r="C9" s="5">
        <v>0.4</v>
      </c>
      <c r="D9" s="4" t="s">
        <v>38</v>
      </c>
    </row>
    <row r="10" ht="15.75" customHeight="1">
      <c r="A10" s="4" t="s">
        <v>41</v>
      </c>
      <c r="B10" s="4" t="s">
        <v>43</v>
      </c>
      <c r="C10" s="5">
        <v>0.4</v>
      </c>
      <c r="D10" s="4" t="s">
        <v>46</v>
      </c>
    </row>
    <row r="11" ht="15.75" customHeight="1">
      <c r="A11" s="4" t="s">
        <v>49</v>
      </c>
      <c r="B11" s="4" t="s">
        <v>51</v>
      </c>
      <c r="C11" s="5">
        <v>0.6</v>
      </c>
      <c r="D11" s="4" t="s">
        <v>53</v>
      </c>
    </row>
    <row r="12" ht="15.75" customHeight="1"/>
    <row r="13" ht="15.75" customHeight="1">
      <c r="A13" s="9" t="s">
        <v>56</v>
      </c>
      <c r="B13" s="9"/>
      <c r="C13" s="9"/>
      <c r="D13" s="9"/>
      <c r="E13" s="9"/>
    </row>
    <row r="14" ht="15.75" customHeight="1">
      <c r="A14" s="3" t="s">
        <v>57</v>
      </c>
      <c r="B14" s="3" t="s">
        <v>6</v>
      </c>
      <c r="C14" s="3" t="s">
        <v>60</v>
      </c>
      <c r="D14" s="3" t="s">
        <v>61</v>
      </c>
      <c r="E14" s="3" t="s">
        <v>63</v>
      </c>
    </row>
    <row r="15" ht="15.75" customHeight="1">
      <c r="A15" s="4" t="s">
        <v>64</v>
      </c>
      <c r="B15" s="4" t="s">
        <v>65</v>
      </c>
      <c r="C15" s="13">
        <v>340.0</v>
      </c>
      <c r="D15" s="4" t="s">
        <v>67</v>
      </c>
      <c r="E15" s="4" t="s">
        <v>68</v>
      </c>
    </row>
    <row r="16" ht="15.75" customHeight="1">
      <c r="A16" s="4" t="s">
        <v>69</v>
      </c>
      <c r="B16" s="4" t="s">
        <v>70</v>
      </c>
      <c r="C16" s="14">
        <v>1.25</v>
      </c>
      <c r="D16" s="4" t="s">
        <v>71</v>
      </c>
      <c r="E16" s="4" t="s">
        <v>72</v>
      </c>
    </row>
    <row r="17" ht="15.75" customHeight="1">
      <c r="A17" s="4" t="s">
        <v>73</v>
      </c>
      <c r="B17" s="4" t="s">
        <v>74</v>
      </c>
      <c r="C17" s="13">
        <v>450.0</v>
      </c>
      <c r="D17" s="4" t="s">
        <v>75</v>
      </c>
      <c r="E17" s="4" t="s">
        <v>76</v>
      </c>
    </row>
    <row r="18" ht="15.75" customHeight="1">
      <c r="A18" s="4" t="s">
        <v>77</v>
      </c>
      <c r="B18" s="4" t="s">
        <v>78</v>
      </c>
      <c r="C18" s="5">
        <v>0.08</v>
      </c>
      <c r="D18" s="4" t="s">
        <v>79</v>
      </c>
      <c r="E18" s="4" t="s">
        <v>80</v>
      </c>
    </row>
    <row r="19" ht="15.75" customHeight="1"/>
    <row r="20" ht="15.75" customHeight="1">
      <c r="A20" s="9" t="s">
        <v>81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5.75" customHeight="1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89</v>
      </c>
      <c r="I21" s="15" t="s">
        <v>90</v>
      </c>
      <c r="J21" s="17" t="s">
        <v>91</v>
      </c>
      <c r="K21" s="18" t="s">
        <v>92</v>
      </c>
    </row>
    <row r="22" ht="15.75" customHeight="1">
      <c r="A22" s="4" t="s">
        <v>66</v>
      </c>
      <c r="B22" s="4" t="s">
        <v>93</v>
      </c>
      <c r="C22" s="4" t="s">
        <v>58</v>
      </c>
      <c r="D22" s="4" t="s">
        <v>94</v>
      </c>
      <c r="E22" s="4" t="s">
        <v>95</v>
      </c>
      <c r="F22" s="13">
        <v>28000.0</v>
      </c>
      <c r="G22" s="5">
        <v>0.95</v>
      </c>
      <c r="H22" s="4">
        <v>90.0</v>
      </c>
      <c r="I22" s="20">
        <v>25000.0</v>
      </c>
      <c r="J22" s="22">
        <v>0.105</v>
      </c>
      <c r="K22" s="23">
        <v>0.45</v>
      </c>
    </row>
    <row r="23" ht="15.75" customHeight="1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13">
        <v>14000.0</v>
      </c>
      <c r="G23" s="5">
        <v>0.94</v>
      </c>
      <c r="H23" s="4">
        <v>88.0</v>
      </c>
      <c r="I23" s="20">
        <v>13500.0</v>
      </c>
      <c r="J23" s="22">
        <v>0.14</v>
      </c>
      <c r="K23" s="23">
        <v>0.42</v>
      </c>
    </row>
    <row r="24" ht="15.75" customHeight="1">
      <c r="A24" s="4" t="s">
        <v>106</v>
      </c>
      <c r="B24" s="4" t="s">
        <v>108</v>
      </c>
      <c r="C24" s="4" t="s">
        <v>109</v>
      </c>
      <c r="D24" s="4" t="s">
        <v>94</v>
      </c>
      <c r="E24" s="4" t="s">
        <v>111</v>
      </c>
      <c r="F24" s="13">
        <v>15000.0</v>
      </c>
      <c r="G24" s="5">
        <v>0.93</v>
      </c>
      <c r="H24" s="4">
        <v>85.0</v>
      </c>
      <c r="I24" s="20">
        <v>16500.0</v>
      </c>
      <c r="J24" s="22">
        <v>0.11</v>
      </c>
      <c r="K24" s="23">
        <v>0.38</v>
      </c>
    </row>
    <row r="25" ht="15.75" customHeight="1">
      <c r="A25" s="4" t="s">
        <v>112</v>
      </c>
      <c r="B25" s="4" t="s">
        <v>113</v>
      </c>
      <c r="C25" s="4" t="s">
        <v>115</v>
      </c>
      <c r="D25" s="4" t="s">
        <v>100</v>
      </c>
      <c r="E25" s="4" t="s">
        <v>116</v>
      </c>
      <c r="F25" s="13">
        <v>12500.0</v>
      </c>
      <c r="G25" s="5">
        <v>0.92</v>
      </c>
      <c r="H25" s="4">
        <v>86.0</v>
      </c>
      <c r="I25" s="20">
        <v>12000.0</v>
      </c>
      <c r="J25" s="22">
        <v>0.095</v>
      </c>
      <c r="K25" s="23">
        <v>0.48</v>
      </c>
    </row>
    <row r="26" ht="15.75" customHeight="1">
      <c r="A26" s="4" t="s">
        <v>117</v>
      </c>
      <c r="B26" s="4" t="s">
        <v>118</v>
      </c>
      <c r="C26" s="4" t="s">
        <v>119</v>
      </c>
      <c r="D26" s="4" t="s">
        <v>120</v>
      </c>
      <c r="E26" s="4" t="s">
        <v>121</v>
      </c>
      <c r="F26" s="13">
        <v>18000.0</v>
      </c>
      <c r="G26" s="5">
        <v>0.94</v>
      </c>
      <c r="H26" s="4">
        <v>92.0</v>
      </c>
      <c r="I26" s="20">
        <v>20500.0</v>
      </c>
      <c r="J26" s="22">
        <v>0.132</v>
      </c>
      <c r="K26" s="23">
        <v>0.35</v>
      </c>
    </row>
    <row r="27" ht="15.75" customHeight="1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126</v>
      </c>
      <c r="F27" s="13">
        <v>17000.0</v>
      </c>
      <c r="G27" s="5">
        <v>0.91</v>
      </c>
      <c r="H27" s="4">
        <v>84.0</v>
      </c>
      <c r="I27" s="20">
        <v>15500.0</v>
      </c>
      <c r="J27" s="22">
        <v>0.115</v>
      </c>
      <c r="K27" s="23">
        <v>0.52</v>
      </c>
    </row>
    <row r="28" ht="15.75" customHeight="1">
      <c r="A28" s="4" t="s">
        <v>127</v>
      </c>
      <c r="B28" s="4" t="s">
        <v>128</v>
      </c>
      <c r="C28" s="4" t="s">
        <v>59</v>
      </c>
      <c r="D28" s="4" t="s">
        <v>129</v>
      </c>
      <c r="E28" s="4" t="s">
        <v>130</v>
      </c>
      <c r="F28" s="13">
        <v>48000.0</v>
      </c>
      <c r="G28" s="5">
        <v>0.96</v>
      </c>
      <c r="H28" s="4">
        <v>95.0</v>
      </c>
      <c r="I28" s="24">
        <v>47000.0</v>
      </c>
      <c r="J28" s="25">
        <v>0.08</v>
      </c>
      <c r="K28" s="26">
        <v>0.6</v>
      </c>
    </row>
    <row r="29" ht="15.75" customHeight="1"/>
    <row r="30" ht="15.75" customHeight="1">
      <c r="A30" s="27" t="s">
        <v>131</v>
      </c>
      <c r="B30" s="27"/>
      <c r="C30" s="27"/>
      <c r="D30" s="27"/>
      <c r="E30" s="27"/>
    </row>
    <row r="31" ht="15.75" customHeight="1">
      <c r="A31" s="28" t="s">
        <v>132</v>
      </c>
      <c r="B31" s="28"/>
      <c r="C31" s="28"/>
      <c r="D31" s="28"/>
      <c r="E31" s="28"/>
    </row>
    <row r="32" ht="15.75" customHeight="1">
      <c r="A32" s="15" t="s">
        <v>133</v>
      </c>
      <c r="B32" s="17" t="s">
        <v>134</v>
      </c>
      <c r="C32" s="17" t="s">
        <v>135</v>
      </c>
      <c r="D32" s="17" t="s">
        <v>136</v>
      </c>
      <c r="E32" s="18" t="s">
        <v>8</v>
      </c>
    </row>
    <row r="33" ht="15.75" customHeight="1">
      <c r="A33" s="29" t="s">
        <v>137</v>
      </c>
      <c r="B33" s="22">
        <v>0.0</v>
      </c>
      <c r="C33" s="22">
        <v>0.899</v>
      </c>
      <c r="D33" s="22">
        <v>0.0</v>
      </c>
      <c r="E33" s="30" t="s">
        <v>138</v>
      </c>
    </row>
    <row r="34" ht="15.75" customHeight="1">
      <c r="A34" s="29" t="s">
        <v>139</v>
      </c>
      <c r="B34" s="22">
        <v>0.9</v>
      </c>
      <c r="C34" s="22">
        <v>0.999</v>
      </c>
      <c r="D34" s="22">
        <v>0.05</v>
      </c>
      <c r="E34" s="30" t="s">
        <v>140</v>
      </c>
    </row>
    <row r="35" ht="15.75" customHeight="1">
      <c r="A35" s="29" t="s">
        <v>141</v>
      </c>
      <c r="B35" s="22">
        <v>1.0</v>
      </c>
      <c r="C35" s="22">
        <v>1.149</v>
      </c>
      <c r="D35" s="22">
        <v>0.1</v>
      </c>
      <c r="E35" s="30" t="s">
        <v>142</v>
      </c>
    </row>
    <row r="36" ht="15.75" customHeight="1">
      <c r="A36" s="29" t="s">
        <v>143</v>
      </c>
      <c r="B36" s="22">
        <v>1.15</v>
      </c>
      <c r="C36" s="22">
        <v>1.25</v>
      </c>
      <c r="D36" s="22">
        <v>0.15</v>
      </c>
      <c r="E36" s="30" t="s">
        <v>144</v>
      </c>
    </row>
    <row r="37" ht="15.75" customHeight="1">
      <c r="A37" s="31" t="s">
        <v>145</v>
      </c>
      <c r="B37" s="25">
        <v>1.25</v>
      </c>
      <c r="C37" s="25">
        <v>9.99</v>
      </c>
      <c r="D37" s="25">
        <v>0.0</v>
      </c>
      <c r="E37" s="32" t="s">
        <v>146</v>
      </c>
    </row>
    <row r="38" ht="15.75" customHeight="1"/>
    <row r="39" ht="15.75" customHeight="1">
      <c r="A39" s="28" t="s">
        <v>147</v>
      </c>
      <c r="B39" s="28"/>
      <c r="C39" s="28"/>
      <c r="D39" s="28"/>
      <c r="E39" s="28"/>
    </row>
    <row r="40" ht="15.75" customHeight="1">
      <c r="A40" s="15" t="s">
        <v>148</v>
      </c>
      <c r="B40" s="17" t="s">
        <v>6</v>
      </c>
      <c r="C40" s="17" t="s">
        <v>149</v>
      </c>
      <c r="D40" s="17" t="s">
        <v>150</v>
      </c>
      <c r="E40" s="18" t="s">
        <v>8</v>
      </c>
    </row>
    <row r="41" ht="15.75" customHeight="1">
      <c r="A41" s="29" t="s">
        <v>151</v>
      </c>
      <c r="B41" s="34" t="s">
        <v>152</v>
      </c>
      <c r="C41" s="22">
        <v>0.9</v>
      </c>
      <c r="D41" s="34" t="s">
        <v>79</v>
      </c>
      <c r="E41" s="30" t="s">
        <v>154</v>
      </c>
    </row>
    <row r="42" ht="15.75" customHeight="1">
      <c r="A42" s="29" t="s">
        <v>155</v>
      </c>
      <c r="B42" s="34" t="s">
        <v>156</v>
      </c>
      <c r="C42" s="36">
        <v>5.0</v>
      </c>
      <c r="D42" s="34" t="s">
        <v>67</v>
      </c>
      <c r="E42" s="30" t="s">
        <v>157</v>
      </c>
    </row>
    <row r="43" ht="15.75" customHeight="1">
      <c r="A43" s="29" t="s">
        <v>158</v>
      </c>
      <c r="B43" s="34" t="s">
        <v>159</v>
      </c>
      <c r="C43" s="37">
        <v>1.25</v>
      </c>
      <c r="D43" s="34" t="s">
        <v>160</v>
      </c>
      <c r="E43" s="30" t="s">
        <v>161</v>
      </c>
    </row>
    <row r="44" ht="15.75" customHeight="1">
      <c r="A44" s="29" t="s">
        <v>162</v>
      </c>
      <c r="B44" s="34" t="s">
        <v>163</v>
      </c>
      <c r="C44" s="37">
        <v>1.0</v>
      </c>
      <c r="D44" s="34" t="s">
        <v>160</v>
      </c>
      <c r="E44" s="30" t="s">
        <v>164</v>
      </c>
    </row>
    <row r="45" ht="15.75" customHeight="1">
      <c r="A45" s="29" t="s">
        <v>165</v>
      </c>
      <c r="B45" s="34" t="s">
        <v>166</v>
      </c>
      <c r="C45" s="37">
        <v>0.75</v>
      </c>
      <c r="D45" s="34" t="s">
        <v>160</v>
      </c>
      <c r="E45" s="30" t="s">
        <v>167</v>
      </c>
    </row>
    <row r="46" ht="15.75" customHeight="1">
      <c r="A46" s="31" t="s">
        <v>168</v>
      </c>
      <c r="B46" s="39" t="s">
        <v>169</v>
      </c>
      <c r="C46" s="40">
        <v>0.5</v>
      </c>
      <c r="D46" s="39" t="s">
        <v>160</v>
      </c>
      <c r="E46" s="32" t="s">
        <v>170</v>
      </c>
    </row>
    <row r="47" ht="15.75" customHeight="1"/>
    <row r="48" ht="15.75" customHeight="1">
      <c r="A48" s="28" t="s">
        <v>171</v>
      </c>
      <c r="B48" s="28"/>
      <c r="C48" s="28"/>
      <c r="D48" s="28"/>
      <c r="E48" s="28"/>
    </row>
    <row r="49" ht="15.75" customHeight="1">
      <c r="A49" s="15" t="s">
        <v>172</v>
      </c>
      <c r="B49" s="17" t="s">
        <v>6</v>
      </c>
      <c r="C49" s="17" t="s">
        <v>173</v>
      </c>
      <c r="D49" s="17" t="s">
        <v>174</v>
      </c>
      <c r="E49" s="18" t="s">
        <v>8</v>
      </c>
    </row>
    <row r="50" ht="15.75" customHeight="1">
      <c r="A50" s="29" t="s">
        <v>175</v>
      </c>
      <c r="B50" s="34" t="s">
        <v>176</v>
      </c>
      <c r="C50" s="22">
        <v>0.12</v>
      </c>
      <c r="D50" s="41">
        <v>750.0</v>
      </c>
      <c r="E50" s="30" t="s">
        <v>177</v>
      </c>
    </row>
    <row r="51" ht="15.75" customHeight="1">
      <c r="A51" s="29" t="s">
        <v>178</v>
      </c>
      <c r="B51" s="34" t="s">
        <v>179</v>
      </c>
      <c r="C51" s="22">
        <v>0.4</v>
      </c>
      <c r="D51" s="41">
        <v>750.0</v>
      </c>
      <c r="E51" s="30" t="s">
        <v>180</v>
      </c>
    </row>
    <row r="52" ht="15.75" customHeight="1">
      <c r="A52" s="31" t="s">
        <v>181</v>
      </c>
      <c r="B52" s="39" t="s">
        <v>182</v>
      </c>
      <c r="C52" s="39" t="s">
        <v>183</v>
      </c>
      <c r="D52" s="42">
        <v>1500.0</v>
      </c>
      <c r="E52" s="32" t="s">
        <v>184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5.13"/>
    <col customWidth="1" min="2" max="2" width="12.63"/>
    <col customWidth="1" min="3" max="4" width="13.88"/>
    <col customWidth="1" min="5" max="5" width="11.38"/>
    <col customWidth="1" min="6" max="6" width="16.38"/>
    <col customWidth="1" min="7" max="7" width="20.13"/>
    <col customWidth="1" min="8" max="8" width="22.63"/>
    <col customWidth="1" min="9" max="9" width="20.13"/>
    <col customWidth="1" min="10" max="11" width="13.88"/>
    <col customWidth="1" min="12" max="12" width="16.38"/>
    <col customWidth="1" min="13" max="14" width="17.63"/>
    <col customWidth="1" min="15" max="15" width="20.75"/>
    <col customWidth="1" min="16" max="16" width="18.88"/>
    <col customWidth="1" min="17" max="17" width="19.5"/>
    <col customWidth="1" min="18" max="18" width="22.0"/>
    <col customWidth="1" min="19" max="19" width="20.1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5.75" customHeight="1"/>
    <row r="4" ht="15.75" customHeight="1">
      <c r="A4" s="7" t="s">
        <v>20</v>
      </c>
      <c r="B4" s="7" t="s">
        <v>25</v>
      </c>
      <c r="C4" s="7" t="s">
        <v>27</v>
      </c>
      <c r="D4" s="7" t="s">
        <v>29</v>
      </c>
      <c r="E4" s="7" t="s">
        <v>30</v>
      </c>
      <c r="F4" s="7" t="s">
        <v>32</v>
      </c>
      <c r="G4" s="7" t="s">
        <v>33</v>
      </c>
      <c r="H4" s="7" t="s">
        <v>35</v>
      </c>
      <c r="I4" s="7" t="s">
        <v>37</v>
      </c>
      <c r="J4" s="7" t="s">
        <v>39</v>
      </c>
      <c r="K4" s="7" t="s">
        <v>40</v>
      </c>
      <c r="L4" s="7" t="s">
        <v>42</v>
      </c>
      <c r="M4" s="7" t="s">
        <v>44</v>
      </c>
      <c r="N4" s="7" t="s">
        <v>45</v>
      </c>
      <c r="O4" s="7" t="s">
        <v>47</v>
      </c>
      <c r="P4" s="7" t="s">
        <v>48</v>
      </c>
      <c r="Q4" s="7" t="s">
        <v>50</v>
      </c>
      <c r="R4" s="7" t="s">
        <v>52</v>
      </c>
      <c r="S4" s="7" t="s">
        <v>54</v>
      </c>
    </row>
    <row r="5" ht="15.75" customHeight="1">
      <c r="A5" s="8" t="s">
        <v>55</v>
      </c>
      <c r="B5" s="10">
        <v>46056.0</v>
      </c>
      <c r="C5" s="4" t="s">
        <v>58</v>
      </c>
      <c r="D5" s="4" t="s">
        <v>59</v>
      </c>
      <c r="E5" s="11" t="s">
        <v>62</v>
      </c>
      <c r="F5" s="4" t="s">
        <v>66</v>
      </c>
      <c r="G5" s="4" t="str">
        <f t="array" ref="G5">_xlfn.XLOOKUP(F5, Parametreler!$A$22:$A$28, Parametreler!$E$22:$E$28)</f>
        <v>Markus Weber</v>
      </c>
      <c r="H5" s="4" t="s">
        <v>127</v>
      </c>
      <c r="I5" s="4" t="str">
        <f t="array" ref="I5">_xlfn.XLOOKUP(H5, Parametreler!$A$22:$A$28, Parametreler!$E$22:$E$28)</f>
        <v>Caner Yılmaz</v>
      </c>
      <c r="J5" s="33">
        <v>22.5</v>
      </c>
      <c r="K5" s="35">
        <v>2250.0</v>
      </c>
      <c r="L5" s="8" t="s">
        <v>153</v>
      </c>
      <c r="M5" s="13">
        <f>ROUND((J5*Parametreler!$C$15 + K5*Parametreler!$C$16 + Parametreler!$C$17)*IF(L5="Evet", 1, 1-Parametreler!$C$18), 2)</f>
        <v>10912.5</v>
      </c>
      <c r="N5" s="13">
        <f>ROUND(M5*Parametreler!$C$5, 2)</f>
        <v>2182.5</v>
      </c>
      <c r="O5" s="13">
        <f t="shared" ref="O5:O22" si="1">M5-N5</f>
        <v>8730</v>
      </c>
      <c r="P5" s="8" t="str">
        <f t="shared" ref="P5:P22" si="2">IF(F5=H5, "Kendi İşi (Tek Şube)", "Ortak Operasyon")</f>
        <v>Ortak Operasyon</v>
      </c>
      <c r="Q5" s="13">
        <f>ROUND(IF(F5=H5, O5*Parametreler!$C$7, IF(OR(E5="P1", E5="P2"), O5*Parametreler!$C$8, O5*Parametreler!$C$10)), 2)</f>
        <v>5238</v>
      </c>
      <c r="R5" s="13">
        <f>ROUND(IF(F5=H5, 0, IF(OR(E5="P1", E5="P2"), O5*Parametreler!$C$9, O5*Parametreler!$C$11)), 2)</f>
        <v>3492</v>
      </c>
      <c r="S5" s="13">
        <f t="shared" ref="S5:S22" si="3">ROUND(N5+Q5+R5-M5, 2)</f>
        <v>0</v>
      </c>
    </row>
    <row r="6" ht="15.75" customHeight="1">
      <c r="A6" s="8" t="s">
        <v>188</v>
      </c>
      <c r="B6" s="10">
        <v>46058.0</v>
      </c>
      <c r="C6" s="4" t="s">
        <v>59</v>
      </c>
      <c r="D6" s="4" t="s">
        <v>58</v>
      </c>
      <c r="E6" s="11" t="s">
        <v>189</v>
      </c>
      <c r="F6" s="4" t="s">
        <v>127</v>
      </c>
      <c r="G6" s="4" t="str">
        <f t="array" ref="G6">_xlfn.XLOOKUP(F6, Parametreler!$A$22:$A$28, Parametreler!$E$22:$E$28)</f>
        <v>Caner Yılmaz</v>
      </c>
      <c r="H6" s="4" t="s">
        <v>66</v>
      </c>
      <c r="I6" s="4" t="str">
        <f t="array" ref="I6">_xlfn.XLOOKUP(H6, Parametreler!$A$22:$A$28, Parametreler!$E$22:$E$28)</f>
        <v>Markus Weber</v>
      </c>
      <c r="J6" s="33">
        <v>24.0</v>
      </c>
      <c r="K6" s="35">
        <v>2250.0</v>
      </c>
      <c r="L6" s="8" t="s">
        <v>153</v>
      </c>
      <c r="M6" s="13">
        <f>ROUND((J6*Parametreler!$C$15 + K6*Parametreler!$C$16 + Parametreler!$C$17)*IF(L6="Evet", 1, 1-Parametreler!$C$18), 2)</f>
        <v>11422.5</v>
      </c>
      <c r="N6" s="13">
        <f>ROUND(M6*Parametreler!$C$5, 2)</f>
        <v>2284.5</v>
      </c>
      <c r="O6" s="13">
        <f t="shared" si="1"/>
        <v>9138</v>
      </c>
      <c r="P6" s="8" t="str">
        <f t="shared" si="2"/>
        <v>Ortak Operasyon</v>
      </c>
      <c r="Q6" s="13">
        <f>ROUND(IF(F6=H6, O6*Parametreler!$C$7, IF(OR(E6="P1", E6="P2"), O6*Parametreler!$C$8, O6*Parametreler!$C$10)), 2)</f>
        <v>5482.8</v>
      </c>
      <c r="R6" s="13">
        <f>ROUND(IF(F6=H6, 0, IF(OR(E6="P1", E6="P2"), O6*Parametreler!$C$9, O6*Parametreler!$C$11)), 2)</f>
        <v>3655.2</v>
      </c>
      <c r="S6" s="13">
        <f t="shared" si="3"/>
        <v>0</v>
      </c>
    </row>
    <row r="7" ht="15.75" customHeight="1">
      <c r="A7" s="8" t="s">
        <v>193</v>
      </c>
      <c r="B7" s="10">
        <v>46061.0</v>
      </c>
      <c r="C7" s="4" t="s">
        <v>99</v>
      </c>
      <c r="D7" s="4" t="s">
        <v>109</v>
      </c>
      <c r="E7" s="11" t="s">
        <v>194</v>
      </c>
      <c r="F7" s="4" t="s">
        <v>97</v>
      </c>
      <c r="G7" s="4" t="str">
        <f t="array" ref="G7">_xlfn.XLOOKUP(F7, Parametreler!$A$22:$A$28, Parametreler!$E$22:$E$28)</f>
        <v>Matteo Rossi</v>
      </c>
      <c r="H7" s="4" t="s">
        <v>106</v>
      </c>
      <c r="I7" s="4" t="str">
        <f t="array" ref="I7">_xlfn.XLOOKUP(H7, Parametreler!$A$22:$A$28, Parametreler!$E$22:$E$28)</f>
        <v>Jean Dupont</v>
      </c>
      <c r="J7" s="33">
        <v>18.0</v>
      </c>
      <c r="K7" s="35">
        <v>450.0</v>
      </c>
      <c r="L7" s="8" t="s">
        <v>153</v>
      </c>
      <c r="M7" s="13">
        <f>ROUND((J7*Parametreler!$C$15 + K7*Parametreler!$C$16 + Parametreler!$C$17)*IF(L7="Evet", 1, 1-Parametreler!$C$18), 2)</f>
        <v>7132.5</v>
      </c>
      <c r="N7" s="13">
        <f>ROUND(M7*Parametreler!$C$5, 2)</f>
        <v>1426.5</v>
      </c>
      <c r="O7" s="13">
        <f t="shared" si="1"/>
        <v>5706</v>
      </c>
      <c r="P7" s="8" t="str">
        <f t="shared" si="2"/>
        <v>Ortak Operasyon</v>
      </c>
      <c r="Q7" s="13">
        <f>ROUND(IF(F7=H7, O7*Parametreler!$C$7, IF(OR(E7="P1", E7="P2"), O7*Parametreler!$C$8, O7*Parametreler!$C$10)), 2)</f>
        <v>2282.4</v>
      </c>
      <c r="R7" s="13">
        <f>ROUND(IF(F7=H7, 0, IF(OR(E7="P1", E7="P2"), O7*Parametreler!$C$9, O7*Parametreler!$C$11)), 2)</f>
        <v>3423.6</v>
      </c>
      <c r="S7" s="13">
        <f t="shared" si="3"/>
        <v>0</v>
      </c>
    </row>
    <row r="8" ht="15.75" customHeight="1">
      <c r="A8" s="8" t="s">
        <v>213</v>
      </c>
      <c r="B8" s="10">
        <v>46064.0</v>
      </c>
      <c r="C8" s="4" t="s">
        <v>109</v>
      </c>
      <c r="D8" s="4" t="s">
        <v>115</v>
      </c>
      <c r="E8" s="11" t="s">
        <v>214</v>
      </c>
      <c r="F8" s="4" t="s">
        <v>106</v>
      </c>
      <c r="G8" s="4" t="str">
        <f t="array" ref="G8">_xlfn.XLOOKUP(F8, Parametreler!$A$22:$A$28, Parametreler!$E$22:$E$28)</f>
        <v>Jean Dupont</v>
      </c>
      <c r="H8" s="4" t="s">
        <v>112</v>
      </c>
      <c r="I8" s="4" t="str">
        <f t="array" ref="I8">_xlfn.XLOOKUP(H8, Parametreler!$A$22:$A$28, Parametreler!$E$22:$E$28)</f>
        <v>Carlos Mendez</v>
      </c>
      <c r="J8" s="33">
        <v>19.5</v>
      </c>
      <c r="K8" s="35">
        <v>1180.0</v>
      </c>
      <c r="L8" s="8" t="s">
        <v>153</v>
      </c>
      <c r="M8" s="13">
        <f>ROUND((J8*Parametreler!$C$15 + K8*Parametreler!$C$16 + Parametreler!$C$17)*IF(L8="Evet", 1, 1-Parametreler!$C$18), 2)</f>
        <v>8555</v>
      </c>
      <c r="N8" s="13">
        <f>ROUND(M8*Parametreler!$C$5, 2)</f>
        <v>1711</v>
      </c>
      <c r="O8" s="13">
        <f t="shared" si="1"/>
        <v>6844</v>
      </c>
      <c r="P8" s="8" t="str">
        <f t="shared" si="2"/>
        <v>Ortak Operasyon</v>
      </c>
      <c r="Q8" s="13">
        <f>ROUND(IF(F8=H8, O8*Parametreler!$C$7, IF(OR(E8="P1", E8="P2"), O8*Parametreler!$C$8, O8*Parametreler!$C$10)), 2)</f>
        <v>2737.6</v>
      </c>
      <c r="R8" s="13">
        <f>ROUND(IF(F8=H8, 0, IF(OR(E8="P1", E8="P2"), O8*Parametreler!$C$9, O8*Parametreler!$C$11)), 2)</f>
        <v>4106.4</v>
      </c>
      <c r="S8" s="13">
        <f t="shared" si="3"/>
        <v>0</v>
      </c>
    </row>
    <row r="9" ht="15.75" customHeight="1">
      <c r="A9" s="8" t="s">
        <v>215</v>
      </c>
      <c r="B9" s="10">
        <v>46067.0</v>
      </c>
      <c r="C9" s="4" t="s">
        <v>119</v>
      </c>
      <c r="D9" s="4" t="s">
        <v>124</v>
      </c>
      <c r="E9" s="11" t="s">
        <v>62</v>
      </c>
      <c r="F9" s="4" t="s">
        <v>117</v>
      </c>
      <c r="G9" s="4" t="str">
        <f t="array" ref="G9">_xlfn.XLOOKUP(F9, Parametreler!$A$22:$A$28, Parametreler!$E$22:$E$28)</f>
        <v>Piotr Kowalski</v>
      </c>
      <c r="H9" s="4" t="s">
        <v>122</v>
      </c>
      <c r="I9" s="4" t="str">
        <f t="array" ref="I9">_xlfn.XLOOKUP(H9, Parametreler!$A$22:$A$28, Parametreler!$E$22:$E$28)</f>
        <v>Andrei Popescu</v>
      </c>
      <c r="J9" s="33">
        <v>21.0</v>
      </c>
      <c r="K9" s="35">
        <v>1080.0</v>
      </c>
      <c r="L9" s="8" t="s">
        <v>216</v>
      </c>
      <c r="M9" s="13">
        <f>ROUND((J9*Parametreler!$C$15 + K9*Parametreler!$C$16 + Parametreler!$C$17)*IF(L9="Evet", 1, 1-Parametreler!$C$18), 2)</f>
        <v>8224.8</v>
      </c>
      <c r="N9" s="13">
        <f>ROUND(M9*Parametreler!$C$5, 2)</f>
        <v>1644.96</v>
      </c>
      <c r="O9" s="13">
        <f t="shared" si="1"/>
        <v>6579.84</v>
      </c>
      <c r="P9" s="8" t="str">
        <f t="shared" si="2"/>
        <v>Ortak Operasyon</v>
      </c>
      <c r="Q9" s="13">
        <f>ROUND(IF(F9=H9, O9*Parametreler!$C$7, IF(OR(E9="P1", E9="P2"), O9*Parametreler!$C$8, O9*Parametreler!$C$10)), 2)</f>
        <v>3947.9</v>
      </c>
      <c r="R9" s="13">
        <f>ROUND(IF(F9=H9, 0, IF(OR(E9="P1", E9="P2"), O9*Parametreler!$C$9, O9*Parametreler!$C$11)), 2)</f>
        <v>2631.94</v>
      </c>
      <c r="S9" s="13">
        <f t="shared" si="3"/>
        <v>0</v>
      </c>
    </row>
    <row r="10" ht="15.75" customHeight="1">
      <c r="A10" s="8" t="s">
        <v>217</v>
      </c>
      <c r="B10" s="10">
        <v>46071.0</v>
      </c>
      <c r="C10" s="4" t="s">
        <v>59</v>
      </c>
      <c r="D10" s="4" t="s">
        <v>99</v>
      </c>
      <c r="E10" s="11" t="s">
        <v>189</v>
      </c>
      <c r="F10" s="4" t="s">
        <v>127</v>
      </c>
      <c r="G10" s="4" t="str">
        <f t="array" ref="G10">_xlfn.XLOOKUP(F10, Parametreler!$A$22:$A$28, Parametreler!$E$22:$E$28)</f>
        <v>Caner Yılmaz</v>
      </c>
      <c r="H10" s="4" t="s">
        <v>97</v>
      </c>
      <c r="I10" s="4" t="str">
        <f t="array" ref="I10">_xlfn.XLOOKUP(H10, Parametreler!$A$22:$A$28, Parametreler!$E$22:$E$28)</f>
        <v>Matteo Rossi</v>
      </c>
      <c r="J10" s="33">
        <v>23.0</v>
      </c>
      <c r="K10" s="35">
        <v>1920.0</v>
      </c>
      <c r="L10" s="8" t="s">
        <v>153</v>
      </c>
      <c r="M10" s="13">
        <f>ROUND((J10*Parametreler!$C$15 + K10*Parametreler!$C$16 + Parametreler!$C$17)*IF(L10="Evet", 1, 1-Parametreler!$C$18), 2)</f>
        <v>10670</v>
      </c>
      <c r="N10" s="13">
        <f>ROUND(M10*Parametreler!$C$5, 2)</f>
        <v>2134</v>
      </c>
      <c r="O10" s="13">
        <f t="shared" si="1"/>
        <v>8536</v>
      </c>
      <c r="P10" s="8" t="str">
        <f t="shared" si="2"/>
        <v>Ortak Operasyon</v>
      </c>
      <c r="Q10" s="13">
        <f>ROUND(IF(F10=H10, O10*Parametreler!$C$7, IF(OR(E10="P1", E10="P2"), O10*Parametreler!$C$8, O10*Parametreler!$C$10)), 2)</f>
        <v>5121.6</v>
      </c>
      <c r="R10" s="13">
        <f>ROUND(IF(F10=H10, 0, IF(OR(E10="P1", E10="P2"), O10*Parametreler!$C$9, O10*Parametreler!$C$11)), 2)</f>
        <v>3414.4</v>
      </c>
      <c r="S10" s="13">
        <f t="shared" si="3"/>
        <v>0</v>
      </c>
    </row>
    <row r="11" ht="15.75" customHeight="1">
      <c r="A11" s="8" t="s">
        <v>218</v>
      </c>
      <c r="B11" s="10">
        <v>46074.0</v>
      </c>
      <c r="C11" s="4" t="s">
        <v>58</v>
      </c>
      <c r="D11" s="4" t="s">
        <v>119</v>
      </c>
      <c r="E11" s="11" t="s">
        <v>194</v>
      </c>
      <c r="F11" s="4" t="s">
        <v>66</v>
      </c>
      <c r="G11" s="4" t="str">
        <f t="array" ref="G11">_xlfn.XLOOKUP(F11, Parametreler!$A$22:$A$28, Parametreler!$E$22:$E$28)</f>
        <v>Markus Weber</v>
      </c>
      <c r="H11" s="4" t="s">
        <v>117</v>
      </c>
      <c r="I11" s="4" t="str">
        <f t="array" ref="I11">_xlfn.XLOOKUP(H11, Parametreler!$A$22:$A$28, Parametreler!$E$22:$E$28)</f>
        <v>Piotr Kowalski</v>
      </c>
      <c r="J11" s="33">
        <v>16.5</v>
      </c>
      <c r="K11" s="35">
        <v>820.0</v>
      </c>
      <c r="L11" s="8" t="s">
        <v>153</v>
      </c>
      <c r="M11" s="13">
        <f>ROUND((J11*Parametreler!$C$15 + K11*Parametreler!$C$16 + Parametreler!$C$17)*IF(L11="Evet", 1, 1-Parametreler!$C$18), 2)</f>
        <v>7085</v>
      </c>
      <c r="N11" s="13">
        <f>ROUND(M11*Parametreler!$C$5, 2)</f>
        <v>1417</v>
      </c>
      <c r="O11" s="13">
        <f t="shared" si="1"/>
        <v>5668</v>
      </c>
      <c r="P11" s="8" t="str">
        <f t="shared" si="2"/>
        <v>Ortak Operasyon</v>
      </c>
      <c r="Q11" s="13">
        <f>ROUND(IF(F11=H11, O11*Parametreler!$C$7, IF(OR(E11="P1", E11="P2"), O11*Parametreler!$C$8, O11*Parametreler!$C$10)), 2)</f>
        <v>2267.2</v>
      </c>
      <c r="R11" s="13">
        <f>ROUND(IF(F11=H11, 0, IF(OR(E11="P1", E11="P2"), O11*Parametreler!$C$9, O11*Parametreler!$C$11)), 2)</f>
        <v>3400.8</v>
      </c>
      <c r="S11" s="13">
        <f t="shared" si="3"/>
        <v>0</v>
      </c>
    </row>
    <row r="12" ht="15.75" customHeight="1">
      <c r="A12" s="8" t="s">
        <v>219</v>
      </c>
      <c r="B12" s="10">
        <v>46078.0</v>
      </c>
      <c r="C12" s="4" t="s">
        <v>115</v>
      </c>
      <c r="D12" s="4" t="s">
        <v>115</v>
      </c>
      <c r="E12" s="11" t="s">
        <v>214</v>
      </c>
      <c r="F12" s="4" t="s">
        <v>112</v>
      </c>
      <c r="G12" s="4" t="str">
        <f t="array" ref="G12">_xlfn.XLOOKUP(F12, Parametreler!$A$22:$A$28, Parametreler!$E$22:$E$28)</f>
        <v>Carlos Mendez</v>
      </c>
      <c r="H12" s="4" t="s">
        <v>112</v>
      </c>
      <c r="I12" s="4" t="str">
        <f t="array" ref="I12">_xlfn.XLOOKUP(H12, Parametreler!$A$22:$A$28, Parametreler!$E$22:$E$28)</f>
        <v>Carlos Mendez</v>
      </c>
      <c r="J12" s="33">
        <v>20.0</v>
      </c>
      <c r="K12" s="35">
        <v>620.0</v>
      </c>
      <c r="L12" s="8" t="s">
        <v>153</v>
      </c>
      <c r="M12" s="13">
        <f>ROUND((J12*Parametreler!$C$15 + K12*Parametreler!$C$16 + Parametreler!$C$17)*IF(L12="Evet", 1, 1-Parametreler!$C$18), 2)</f>
        <v>8025</v>
      </c>
      <c r="N12" s="13">
        <f>ROUND(M12*Parametreler!$C$5, 2)</f>
        <v>1605</v>
      </c>
      <c r="O12" s="13">
        <f t="shared" si="1"/>
        <v>6420</v>
      </c>
      <c r="P12" s="8" t="str">
        <f t="shared" si="2"/>
        <v>Kendi İşi (Tek Şube)</v>
      </c>
      <c r="Q12" s="13">
        <f>ROUND(IF(F12=H12, O12*Parametreler!$C$7, IF(OR(E12="P1", E12="P2"), O12*Parametreler!$C$8, O12*Parametreler!$C$10)), 2)</f>
        <v>6420</v>
      </c>
      <c r="R12" s="13">
        <f>ROUND(IF(F12=H12, 0, IF(OR(E12="P1", E12="P2"), O12*Parametreler!$C$9, O12*Parametreler!$C$11)), 2)</f>
        <v>0</v>
      </c>
      <c r="S12" s="13">
        <f t="shared" si="3"/>
        <v>0</v>
      </c>
    </row>
    <row r="13" ht="15.75" customHeight="1">
      <c r="A13" s="8" t="s">
        <v>220</v>
      </c>
      <c r="B13" s="10">
        <v>46083.0</v>
      </c>
      <c r="C13" s="4" t="s">
        <v>124</v>
      </c>
      <c r="D13" s="4" t="s">
        <v>59</v>
      </c>
      <c r="E13" s="11" t="s">
        <v>62</v>
      </c>
      <c r="F13" s="4" t="s">
        <v>122</v>
      </c>
      <c r="G13" s="4" t="str">
        <f t="array" ref="G13">_xlfn.XLOOKUP(F13, Parametreler!$A$22:$A$28, Parametreler!$E$22:$E$28)</f>
        <v>Andrei Popescu</v>
      </c>
      <c r="H13" s="4" t="s">
        <v>127</v>
      </c>
      <c r="I13" s="4" t="str">
        <f t="array" ref="I13">_xlfn.XLOOKUP(H13, Parametreler!$A$22:$A$28, Parametreler!$E$22:$E$28)</f>
        <v>Caner Yılmaz</v>
      </c>
      <c r="J13" s="33">
        <v>22.0</v>
      </c>
      <c r="K13" s="35">
        <v>680.0</v>
      </c>
      <c r="L13" s="8" t="s">
        <v>153</v>
      </c>
      <c r="M13" s="13">
        <f>ROUND((J13*Parametreler!$C$15 + K13*Parametreler!$C$16 + Parametreler!$C$17)*IF(L13="Evet", 1, 1-Parametreler!$C$18), 2)</f>
        <v>8780</v>
      </c>
      <c r="N13" s="13">
        <f>ROUND(M13*Parametreler!$C$5, 2)</f>
        <v>1756</v>
      </c>
      <c r="O13" s="13">
        <f t="shared" si="1"/>
        <v>7024</v>
      </c>
      <c r="P13" s="8" t="str">
        <f t="shared" si="2"/>
        <v>Ortak Operasyon</v>
      </c>
      <c r="Q13" s="13">
        <f>ROUND(IF(F13=H13, O13*Parametreler!$C$7, IF(OR(E13="P1", E13="P2"), O13*Parametreler!$C$8, O13*Parametreler!$C$10)), 2)</f>
        <v>4214.4</v>
      </c>
      <c r="R13" s="13">
        <f>ROUND(IF(F13=H13, 0, IF(OR(E13="P1", E13="P2"), O13*Parametreler!$C$9, O13*Parametreler!$C$11)), 2)</f>
        <v>2809.6</v>
      </c>
      <c r="S13" s="13">
        <f t="shared" si="3"/>
        <v>0</v>
      </c>
    </row>
    <row r="14" ht="15.75" customHeight="1">
      <c r="A14" s="8" t="s">
        <v>221</v>
      </c>
      <c r="B14" s="10">
        <v>46087.0</v>
      </c>
      <c r="C14" s="4" t="s">
        <v>99</v>
      </c>
      <c r="D14" s="4" t="s">
        <v>58</v>
      </c>
      <c r="E14" s="11" t="s">
        <v>189</v>
      </c>
      <c r="F14" s="4" t="s">
        <v>97</v>
      </c>
      <c r="G14" s="4" t="str">
        <f t="array" ref="G14">_xlfn.XLOOKUP(F14, Parametreler!$A$22:$A$28, Parametreler!$E$22:$E$28)</f>
        <v>Matteo Rossi</v>
      </c>
      <c r="H14" s="4" t="s">
        <v>66</v>
      </c>
      <c r="I14" s="4" t="str">
        <f t="array" ref="I14">_xlfn.XLOOKUP(H14, Parametreler!$A$22:$A$28, Parametreler!$E$22:$E$28)</f>
        <v>Markus Weber</v>
      </c>
      <c r="J14" s="33">
        <v>17.5</v>
      </c>
      <c r="K14" s="35">
        <v>650.0</v>
      </c>
      <c r="L14" s="8" t="s">
        <v>216</v>
      </c>
      <c r="M14" s="13">
        <f>ROUND((J14*Parametreler!$C$15 + K14*Parametreler!$C$16 + Parametreler!$C$17)*IF(L14="Evet", 1, 1-Parametreler!$C$18), 2)</f>
        <v>6635.5</v>
      </c>
      <c r="N14" s="13">
        <f>ROUND(M14*Parametreler!$C$5, 2)</f>
        <v>1327.1</v>
      </c>
      <c r="O14" s="13">
        <f t="shared" si="1"/>
        <v>5308.4</v>
      </c>
      <c r="P14" s="8" t="str">
        <f t="shared" si="2"/>
        <v>Ortak Operasyon</v>
      </c>
      <c r="Q14" s="13">
        <f>ROUND(IF(F14=H14, O14*Parametreler!$C$7, IF(OR(E14="P1", E14="P2"), O14*Parametreler!$C$8, O14*Parametreler!$C$10)), 2)</f>
        <v>3185.04</v>
      </c>
      <c r="R14" s="13">
        <f>ROUND(IF(F14=H14, 0, IF(OR(E14="P1", E14="P2"), O14*Parametreler!$C$9, O14*Parametreler!$C$11)), 2)</f>
        <v>2123.36</v>
      </c>
      <c r="S14" s="13">
        <f t="shared" si="3"/>
        <v>0</v>
      </c>
    </row>
    <row r="15" ht="15.75" customHeight="1">
      <c r="A15" s="8" t="s">
        <v>222</v>
      </c>
      <c r="B15" s="10">
        <v>46091.0</v>
      </c>
      <c r="C15" s="4" t="s">
        <v>109</v>
      </c>
      <c r="D15" s="4" t="s">
        <v>109</v>
      </c>
      <c r="E15" s="11" t="s">
        <v>194</v>
      </c>
      <c r="F15" s="4" t="s">
        <v>106</v>
      </c>
      <c r="G15" s="4" t="str">
        <f t="array" ref="G15">_xlfn.XLOOKUP(F15, Parametreler!$A$22:$A$28, Parametreler!$E$22:$E$28)</f>
        <v>Jean Dupont</v>
      </c>
      <c r="H15" s="4" t="s">
        <v>106</v>
      </c>
      <c r="I15" s="4" t="str">
        <f t="array" ref="I15">_xlfn.XLOOKUP(H15, Parametreler!$A$22:$A$28, Parametreler!$E$22:$E$28)</f>
        <v>Jean Dupont</v>
      </c>
      <c r="J15" s="33">
        <v>19.0</v>
      </c>
      <c r="K15" s="35">
        <v>480.0</v>
      </c>
      <c r="L15" s="8" t="s">
        <v>153</v>
      </c>
      <c r="M15" s="13">
        <f>ROUND((J15*Parametreler!$C$15 + K15*Parametreler!$C$16 + Parametreler!$C$17)*IF(L15="Evet", 1, 1-Parametreler!$C$18), 2)</f>
        <v>7510</v>
      </c>
      <c r="N15" s="13">
        <f>ROUND(M15*Parametreler!$C$5, 2)</f>
        <v>1502</v>
      </c>
      <c r="O15" s="13">
        <f t="shared" si="1"/>
        <v>6008</v>
      </c>
      <c r="P15" s="8" t="str">
        <f t="shared" si="2"/>
        <v>Kendi İşi (Tek Şube)</v>
      </c>
      <c r="Q15" s="13">
        <f>ROUND(IF(F15=H15, O15*Parametreler!$C$7, IF(OR(E15="P1", E15="P2"), O15*Parametreler!$C$8, O15*Parametreler!$C$10)), 2)</f>
        <v>6008</v>
      </c>
      <c r="R15" s="13">
        <f>ROUND(IF(F15=H15, 0, IF(OR(E15="P1", E15="P2"), O15*Parametreler!$C$9, O15*Parametreler!$C$11)), 2)</f>
        <v>0</v>
      </c>
      <c r="S15" s="13">
        <f t="shared" si="3"/>
        <v>0</v>
      </c>
    </row>
    <row r="16" ht="15.75" customHeight="1">
      <c r="A16" s="8" t="s">
        <v>223</v>
      </c>
      <c r="B16" s="10">
        <v>46095.0</v>
      </c>
      <c r="C16" s="4" t="s">
        <v>58</v>
      </c>
      <c r="D16" s="4" t="s">
        <v>124</v>
      </c>
      <c r="E16" s="11" t="s">
        <v>214</v>
      </c>
      <c r="F16" s="4" t="s">
        <v>66</v>
      </c>
      <c r="G16" s="4" t="str">
        <f t="array" ref="G16">_xlfn.XLOOKUP(F16, Parametreler!$A$22:$A$28, Parametreler!$E$22:$E$28)</f>
        <v>Markus Weber</v>
      </c>
      <c r="H16" s="4" t="s">
        <v>122</v>
      </c>
      <c r="I16" s="4" t="str">
        <f t="array" ref="I16">_xlfn.XLOOKUP(H16, Parametreler!$A$22:$A$28, Parametreler!$E$22:$E$28)</f>
        <v>Andrei Popescu</v>
      </c>
      <c r="J16" s="33">
        <v>21.5</v>
      </c>
      <c r="K16" s="35">
        <v>1540.0</v>
      </c>
      <c r="L16" s="8" t="s">
        <v>153</v>
      </c>
      <c r="M16" s="13">
        <f>ROUND((J16*Parametreler!$C$15 + K16*Parametreler!$C$16 + Parametreler!$C$17)*IF(L16="Evet", 1, 1-Parametreler!$C$18), 2)</f>
        <v>9685</v>
      </c>
      <c r="N16" s="13">
        <f>ROUND(M16*Parametreler!$C$5, 2)</f>
        <v>1937</v>
      </c>
      <c r="O16" s="13">
        <f t="shared" si="1"/>
        <v>7748</v>
      </c>
      <c r="P16" s="8" t="str">
        <f t="shared" si="2"/>
        <v>Ortak Operasyon</v>
      </c>
      <c r="Q16" s="13">
        <f>ROUND(IF(F16=H16, O16*Parametreler!$C$7, IF(OR(E16="P1", E16="P2"), O16*Parametreler!$C$8, O16*Parametreler!$C$10)), 2)</f>
        <v>3099.2</v>
      </c>
      <c r="R16" s="13">
        <f>ROUND(IF(F16=H16, 0, IF(OR(E16="P1", E16="P2"), O16*Parametreler!$C$9, O16*Parametreler!$C$11)), 2)</f>
        <v>4648.8</v>
      </c>
      <c r="S16" s="13">
        <f t="shared" si="3"/>
        <v>0</v>
      </c>
    </row>
    <row r="17" ht="15.75" customHeight="1">
      <c r="A17" s="8" t="s">
        <v>224</v>
      </c>
      <c r="B17" s="10">
        <v>46099.0</v>
      </c>
      <c r="C17" s="4" t="s">
        <v>119</v>
      </c>
      <c r="D17" s="4" t="s">
        <v>58</v>
      </c>
      <c r="E17" s="11" t="s">
        <v>62</v>
      </c>
      <c r="F17" s="4" t="s">
        <v>117</v>
      </c>
      <c r="G17" s="4" t="str">
        <f t="array" ref="G17">_xlfn.XLOOKUP(F17, Parametreler!$A$22:$A$28, Parametreler!$E$22:$E$28)</f>
        <v>Piotr Kowalski</v>
      </c>
      <c r="H17" s="4" t="s">
        <v>66</v>
      </c>
      <c r="I17" s="4" t="str">
        <f t="array" ref="I17">_xlfn.XLOOKUP(H17, Parametreler!$A$22:$A$28, Parametreler!$E$22:$E$28)</f>
        <v>Markus Weber</v>
      </c>
      <c r="J17" s="33">
        <v>24.0</v>
      </c>
      <c r="K17" s="35">
        <v>820.0</v>
      </c>
      <c r="L17" s="8" t="s">
        <v>153</v>
      </c>
      <c r="M17" s="13">
        <f>ROUND((J17*Parametreler!$C$15 + K17*Parametreler!$C$16 + Parametreler!$C$17)*IF(L17="Evet", 1, 1-Parametreler!$C$18), 2)</f>
        <v>9635</v>
      </c>
      <c r="N17" s="13">
        <f>ROUND(M17*Parametreler!$C$5, 2)</f>
        <v>1927</v>
      </c>
      <c r="O17" s="13">
        <f t="shared" si="1"/>
        <v>7708</v>
      </c>
      <c r="P17" s="8" t="str">
        <f t="shared" si="2"/>
        <v>Ortak Operasyon</v>
      </c>
      <c r="Q17" s="13">
        <f>ROUND(IF(F17=H17, O17*Parametreler!$C$7, IF(OR(E17="P1", E17="P2"), O17*Parametreler!$C$8, O17*Parametreler!$C$10)), 2)</f>
        <v>4624.8</v>
      </c>
      <c r="R17" s="13">
        <f>ROUND(IF(F17=H17, 0, IF(OR(E17="P1", E17="P2"), O17*Parametreler!$C$9, O17*Parametreler!$C$11)), 2)</f>
        <v>3083.2</v>
      </c>
      <c r="S17" s="13">
        <f t="shared" si="3"/>
        <v>0</v>
      </c>
    </row>
    <row r="18" ht="15.75" customHeight="1">
      <c r="A18" s="8" t="s">
        <v>225</v>
      </c>
      <c r="B18" s="10">
        <v>46103.0</v>
      </c>
      <c r="C18" s="4" t="s">
        <v>115</v>
      </c>
      <c r="D18" s="4" t="s">
        <v>99</v>
      </c>
      <c r="E18" s="11" t="s">
        <v>189</v>
      </c>
      <c r="F18" s="4" t="s">
        <v>112</v>
      </c>
      <c r="G18" s="4" t="str">
        <f t="array" ref="G18">_xlfn.XLOOKUP(F18, Parametreler!$A$22:$A$28, Parametreler!$E$22:$E$28)</f>
        <v>Carlos Mendez</v>
      </c>
      <c r="H18" s="4" t="s">
        <v>97</v>
      </c>
      <c r="I18" s="4" t="str">
        <f t="array" ref="I18">_xlfn.XLOOKUP(H18, Parametreler!$A$22:$A$28, Parametreler!$E$22:$E$28)</f>
        <v>Matteo Rossi</v>
      </c>
      <c r="J18" s="33">
        <v>18.5</v>
      </c>
      <c r="K18" s="35">
        <v>1360.0</v>
      </c>
      <c r="L18" s="8" t="s">
        <v>153</v>
      </c>
      <c r="M18" s="13">
        <f>ROUND((J18*Parametreler!$C$15 + K18*Parametreler!$C$16 + Parametreler!$C$17)*IF(L18="Evet", 1, 1-Parametreler!$C$18), 2)</f>
        <v>8440</v>
      </c>
      <c r="N18" s="13">
        <f>ROUND(M18*Parametreler!$C$5, 2)</f>
        <v>1688</v>
      </c>
      <c r="O18" s="13">
        <f t="shared" si="1"/>
        <v>6752</v>
      </c>
      <c r="P18" s="8" t="str">
        <f t="shared" si="2"/>
        <v>Ortak Operasyon</v>
      </c>
      <c r="Q18" s="13">
        <f>ROUND(IF(F18=H18, O18*Parametreler!$C$7, IF(OR(E18="P1", E18="P2"), O18*Parametreler!$C$8, O18*Parametreler!$C$10)), 2)</f>
        <v>4051.2</v>
      </c>
      <c r="R18" s="13">
        <f>ROUND(IF(F18=H18, 0, IF(OR(E18="P1", E18="P2"), O18*Parametreler!$C$9, O18*Parametreler!$C$11)), 2)</f>
        <v>2700.8</v>
      </c>
      <c r="S18" s="13">
        <f t="shared" si="3"/>
        <v>0</v>
      </c>
    </row>
    <row r="19" ht="15.75" customHeight="1">
      <c r="A19" s="8" t="s">
        <v>226</v>
      </c>
      <c r="B19" s="10">
        <v>46107.0</v>
      </c>
      <c r="C19" s="4" t="s">
        <v>59</v>
      </c>
      <c r="D19" s="4" t="s">
        <v>124</v>
      </c>
      <c r="E19" s="11" t="s">
        <v>194</v>
      </c>
      <c r="F19" s="4" t="s">
        <v>127</v>
      </c>
      <c r="G19" s="4" t="str">
        <f t="array" ref="G19">_xlfn.XLOOKUP(F19, Parametreler!$A$22:$A$28, Parametreler!$E$22:$E$28)</f>
        <v>Caner Yılmaz</v>
      </c>
      <c r="H19" s="4" t="s">
        <v>122</v>
      </c>
      <c r="I19" s="4" t="str">
        <f t="array" ref="I19">_xlfn.XLOOKUP(H19, Parametreler!$A$22:$A$28, Parametreler!$E$22:$E$28)</f>
        <v>Andrei Popescu</v>
      </c>
      <c r="J19" s="33">
        <v>23.5</v>
      </c>
      <c r="K19" s="35">
        <v>680.0</v>
      </c>
      <c r="L19" s="8" t="s">
        <v>153</v>
      </c>
      <c r="M19" s="13">
        <f>ROUND((J19*Parametreler!$C$15 + K19*Parametreler!$C$16 + Parametreler!$C$17)*IF(L19="Evet", 1, 1-Parametreler!$C$18), 2)</f>
        <v>9290</v>
      </c>
      <c r="N19" s="13">
        <f>ROUND(M19*Parametreler!$C$5, 2)</f>
        <v>1858</v>
      </c>
      <c r="O19" s="13">
        <f t="shared" si="1"/>
        <v>7432</v>
      </c>
      <c r="P19" s="8" t="str">
        <f t="shared" si="2"/>
        <v>Ortak Operasyon</v>
      </c>
      <c r="Q19" s="13">
        <f>ROUND(IF(F19=H19, O19*Parametreler!$C$7, IF(OR(E19="P1", E19="P2"), O19*Parametreler!$C$8, O19*Parametreler!$C$10)), 2)</f>
        <v>2972.8</v>
      </c>
      <c r="R19" s="13">
        <f>ROUND(IF(F19=H19, 0, IF(OR(E19="P1", E19="P2"), O19*Parametreler!$C$9, O19*Parametreler!$C$11)), 2)</f>
        <v>4459.2</v>
      </c>
      <c r="S19" s="13">
        <f t="shared" si="3"/>
        <v>0</v>
      </c>
    </row>
    <row r="20" ht="15.75" customHeight="1">
      <c r="A20" s="8" t="s">
        <v>228</v>
      </c>
      <c r="B20" s="10">
        <v>46114.0</v>
      </c>
      <c r="C20" s="4" t="s">
        <v>58</v>
      </c>
      <c r="D20" s="4" t="s">
        <v>58</v>
      </c>
      <c r="E20" s="11" t="s">
        <v>214</v>
      </c>
      <c r="F20" s="4" t="s">
        <v>66</v>
      </c>
      <c r="G20" s="4" t="str">
        <f t="array" ref="G20">_xlfn.XLOOKUP(F20, Parametreler!$A$22:$A$28, Parametreler!$E$22:$E$28)</f>
        <v>Markus Weber</v>
      </c>
      <c r="H20" s="4" t="s">
        <v>66</v>
      </c>
      <c r="I20" s="4" t="str">
        <f t="array" ref="I20">_xlfn.XLOOKUP(H20, Parametreler!$A$22:$A$28, Parametreler!$E$22:$E$28)</f>
        <v>Markus Weber</v>
      </c>
      <c r="J20" s="33">
        <v>20.0</v>
      </c>
      <c r="K20" s="35">
        <v>550.0</v>
      </c>
      <c r="L20" s="8" t="s">
        <v>153</v>
      </c>
      <c r="M20" s="13">
        <f>ROUND((J20*Parametreler!$C$15 + K20*Parametreler!$C$16 + Parametreler!$C$17)*IF(L20="Evet", 1, 1-Parametreler!$C$18), 2)</f>
        <v>7937.5</v>
      </c>
      <c r="N20" s="13">
        <f>ROUND(M20*Parametreler!$C$5, 2)</f>
        <v>1587.5</v>
      </c>
      <c r="O20" s="13">
        <f t="shared" si="1"/>
        <v>6350</v>
      </c>
      <c r="P20" s="8" t="str">
        <f t="shared" si="2"/>
        <v>Kendi İşi (Tek Şube)</v>
      </c>
      <c r="Q20" s="13">
        <f>ROUND(IF(F20=H20, O20*Parametreler!$C$7, IF(OR(E20="P1", E20="P2"), O20*Parametreler!$C$8, O20*Parametreler!$C$10)), 2)</f>
        <v>6350</v>
      </c>
      <c r="R20" s="13">
        <f>ROUND(IF(F20=H20, 0, IF(OR(E20="P1", E20="P2"), O20*Parametreler!$C$9, O20*Parametreler!$C$11)), 2)</f>
        <v>0</v>
      </c>
      <c r="S20" s="13">
        <f t="shared" si="3"/>
        <v>0</v>
      </c>
    </row>
    <row r="21" ht="15.75" customHeight="1">
      <c r="A21" s="8" t="s">
        <v>229</v>
      </c>
      <c r="B21" s="10">
        <v>46120.0</v>
      </c>
      <c r="C21" s="4" t="s">
        <v>109</v>
      </c>
      <c r="D21" s="4" t="s">
        <v>119</v>
      </c>
      <c r="E21" s="11" t="s">
        <v>62</v>
      </c>
      <c r="F21" s="4" t="s">
        <v>106</v>
      </c>
      <c r="G21" s="4" t="str">
        <f t="array" ref="G21">_xlfn.XLOOKUP(F21, Parametreler!$A$22:$A$28, Parametreler!$E$22:$E$28)</f>
        <v>Jean Dupont</v>
      </c>
      <c r="H21" s="4" t="s">
        <v>117</v>
      </c>
      <c r="I21" s="4" t="str">
        <f t="array" ref="I21">_xlfn.XLOOKUP(H21, Parametreler!$A$22:$A$28, Parametreler!$E$22:$E$28)</f>
        <v>Piotr Kowalski</v>
      </c>
      <c r="J21" s="33">
        <v>17.0</v>
      </c>
      <c r="K21" s="35">
        <v>1580.0</v>
      </c>
      <c r="L21" s="8" t="s">
        <v>216</v>
      </c>
      <c r="M21" s="13">
        <f>ROUND((J21*Parametreler!$C$15 + K21*Parametreler!$C$16 + Parametreler!$C$17)*IF(L21="Evet", 1, 1-Parametreler!$C$18), 2)</f>
        <v>7548.6</v>
      </c>
      <c r="N21" s="13">
        <f>ROUND(M21*Parametreler!$C$5, 2)</f>
        <v>1509.72</v>
      </c>
      <c r="O21" s="13">
        <f t="shared" si="1"/>
        <v>6038.88</v>
      </c>
      <c r="P21" s="8" t="str">
        <f t="shared" si="2"/>
        <v>Ortak Operasyon</v>
      </c>
      <c r="Q21" s="13">
        <f>ROUND(IF(F21=H21, O21*Parametreler!$C$7, IF(OR(E21="P1", E21="P2"), O21*Parametreler!$C$8, O21*Parametreler!$C$10)), 2)</f>
        <v>3623.33</v>
      </c>
      <c r="R21" s="13">
        <f>ROUND(IF(F21=H21, 0, IF(OR(E21="P1", E21="P2"), O21*Parametreler!$C$9, O21*Parametreler!$C$11)), 2)</f>
        <v>2415.55</v>
      </c>
      <c r="S21" s="13">
        <f t="shared" si="3"/>
        <v>0</v>
      </c>
    </row>
    <row r="22" ht="15.75" customHeight="1">
      <c r="A22" s="8" t="s">
        <v>230</v>
      </c>
      <c r="B22" s="10">
        <v>46126.0</v>
      </c>
      <c r="C22" s="4" t="s">
        <v>124</v>
      </c>
      <c r="D22" s="4" t="s">
        <v>119</v>
      </c>
      <c r="E22" s="11" t="s">
        <v>189</v>
      </c>
      <c r="F22" s="4" t="s">
        <v>122</v>
      </c>
      <c r="G22" s="4" t="str">
        <f t="array" ref="G22">_xlfn.XLOOKUP(F22, Parametreler!$A$22:$A$28, Parametreler!$E$22:$E$28)</f>
        <v>Andrei Popescu</v>
      </c>
      <c r="H22" s="4" t="s">
        <v>117</v>
      </c>
      <c r="I22" s="4" t="str">
        <f t="array" ref="I22">_xlfn.XLOOKUP(H22, Parametreler!$A$22:$A$28, Parametreler!$E$22:$E$28)</f>
        <v>Piotr Kowalski</v>
      </c>
      <c r="J22" s="33">
        <v>19.0</v>
      </c>
      <c r="K22" s="35">
        <v>1080.0</v>
      </c>
      <c r="L22" s="8" t="s">
        <v>153</v>
      </c>
      <c r="M22" s="13">
        <f>ROUND((J22*Parametreler!$C$15 + K22*Parametreler!$C$16 + Parametreler!$C$17)*IF(L22="Evet", 1, 1-Parametreler!$C$18), 2)</f>
        <v>8260</v>
      </c>
      <c r="N22" s="13">
        <f>ROUND(M22*Parametreler!$C$5, 2)</f>
        <v>1652</v>
      </c>
      <c r="O22" s="13">
        <f t="shared" si="1"/>
        <v>6608</v>
      </c>
      <c r="P22" s="8" t="str">
        <f t="shared" si="2"/>
        <v>Ortak Operasyon</v>
      </c>
      <c r="Q22" s="13">
        <f>ROUND(IF(F22=H22, O22*Parametreler!$C$7, IF(OR(E22="P1", E22="P2"), O22*Parametreler!$C$8, O22*Parametreler!$C$10)), 2)</f>
        <v>3964.8</v>
      </c>
      <c r="R22" s="13">
        <f>ROUND(IF(F22=H22, 0, IF(OR(E22="P1", E22="P2"), O22*Parametreler!$C$9, O22*Parametreler!$C$11)), 2)</f>
        <v>2643.2</v>
      </c>
      <c r="S22" s="13">
        <f t="shared" si="3"/>
        <v>0</v>
      </c>
    </row>
    <row r="23" ht="15.75" customHeight="1">
      <c r="A23" s="45" t="s">
        <v>195</v>
      </c>
      <c r="B23" s="45"/>
      <c r="C23" s="45"/>
      <c r="D23" s="45"/>
      <c r="E23" s="81" t="s">
        <v>227</v>
      </c>
      <c r="F23" s="45"/>
      <c r="G23" s="45"/>
      <c r="H23" s="45"/>
      <c r="I23" s="45"/>
      <c r="J23" s="82">
        <f>SUM(J5:J22)</f>
        <v>366.5</v>
      </c>
      <c r="K23" s="83">
        <f>AVERAGE(K5:K22)</f>
        <v>1110.555556</v>
      </c>
      <c r="L23" s="69">
        <f>COUNTIF(L5:L22, "Evet")/COUNTA(L5:L22)</f>
        <v>0.8333333333</v>
      </c>
      <c r="M23" s="46">
        <f t="shared" ref="M23:O23" si="4">SUM(M5:M22)</f>
        <v>155748.9</v>
      </c>
      <c r="N23" s="46">
        <f t="shared" si="4"/>
        <v>31149.78</v>
      </c>
      <c r="O23" s="46">
        <f t="shared" si="4"/>
        <v>124599.12</v>
      </c>
      <c r="P23" s="45" t="s">
        <v>227</v>
      </c>
      <c r="Q23" s="46">
        <f t="shared" ref="Q23:S23" si="5">SUM(Q5:Q22)</f>
        <v>75591.07</v>
      </c>
      <c r="R23" s="46">
        <f t="shared" si="5"/>
        <v>49008.05</v>
      </c>
      <c r="S23" s="46">
        <f t="shared" si="5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0.13"/>
    <col customWidth="1" min="3" max="3" width="18.88"/>
    <col customWidth="1" min="4" max="4" width="17.63"/>
    <col customWidth="1" min="5" max="5" width="21.38"/>
    <col customWidth="1" min="6" max="6" width="17.63"/>
    <col customWidth="1" min="7" max="7" width="19.5"/>
    <col customWidth="1" min="8" max="8" width="21.38"/>
    <col customWidth="1" min="9" max="9" width="17.0"/>
    <col customWidth="1" min="10" max="10" width="15.75"/>
    <col customWidth="1" min="11" max="11" width="19.5"/>
    <col customWidth="1" min="12" max="12" width="20.75"/>
    <col customWidth="1" min="13" max="15" width="18.25"/>
  </cols>
  <sheetData>
    <row r="1" ht="15.7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/>
    <row r="4" ht="15.75" customHeight="1">
      <c r="A4" s="6" t="s">
        <v>12</v>
      </c>
      <c r="C4" s="6" t="s">
        <v>16</v>
      </c>
      <c r="E4" s="6" t="s">
        <v>18</v>
      </c>
      <c r="G4" s="6" t="s">
        <v>22</v>
      </c>
      <c r="I4" s="6" t="s">
        <v>23</v>
      </c>
    </row>
    <row r="5" ht="15.75" customHeight="1">
      <c r="A5" s="12">
        <f>'İşlemler'!M23</f>
        <v>155748.9</v>
      </c>
      <c r="C5" s="12">
        <f>'İşlemler'!N23</f>
        <v>31149.78</v>
      </c>
      <c r="E5" s="12">
        <f>SUM('İşlemler'!Q23, 'İşlemler'!R23)</f>
        <v>124599.12</v>
      </c>
      <c r="G5" s="16">
        <f>'İşlemler'!L23</f>
        <v>0.8333333333</v>
      </c>
      <c r="I5" s="19">
        <f>'İşlemler'!J23</f>
        <v>366.5</v>
      </c>
    </row>
    <row r="6" ht="15.75" customHeight="1"/>
    <row r="7" ht="15.75" customHeight="1">
      <c r="A7" s="21" t="s">
        <v>96</v>
      </c>
      <c r="B7" s="21"/>
      <c r="C7" s="21"/>
      <c r="D7" s="21"/>
      <c r="E7" s="21"/>
      <c r="F7" s="21"/>
      <c r="G7" s="21"/>
      <c r="H7" s="21"/>
      <c r="I7" s="21"/>
    </row>
    <row r="8" ht="15.75" customHeight="1">
      <c r="A8" s="7" t="s">
        <v>82</v>
      </c>
      <c r="B8" s="7" t="s">
        <v>83</v>
      </c>
      <c r="C8" s="7" t="s">
        <v>86</v>
      </c>
      <c r="D8" s="7" t="s">
        <v>102</v>
      </c>
      <c r="E8" s="7" t="s">
        <v>103</v>
      </c>
      <c r="F8" s="7" t="s">
        <v>104</v>
      </c>
      <c r="G8" s="7" t="s">
        <v>105</v>
      </c>
      <c r="H8" s="7" t="s">
        <v>107</v>
      </c>
      <c r="I8" s="7" t="s">
        <v>110</v>
      </c>
    </row>
    <row r="9" ht="15.75" customHeight="1">
      <c r="A9" s="8" t="s">
        <v>66</v>
      </c>
      <c r="B9" s="4" t="s">
        <v>93</v>
      </c>
      <c r="C9" s="4" t="s">
        <v>114</v>
      </c>
      <c r="D9" s="13">
        <f>SUMIFS('İşlemler'!$Q$5:$Q$22, 'İşlemler'!$F$5:$F$22, A9)</f>
        <v>16954.4</v>
      </c>
      <c r="E9" s="13">
        <f>SUMIFS('İşlemler'!$R$5:$R$22, 'İşlemler'!$H$5:$H$22, A9)</f>
        <v>8861.76</v>
      </c>
      <c r="F9" s="13">
        <f>IF(A9="TR-IST", 'İşlemler'!$N$23, 0)</f>
        <v>0</v>
      </c>
      <c r="G9" s="13">
        <f t="shared" ref="G9:G15" si="1">SUM(D9:F9)</f>
        <v>25816.16</v>
      </c>
      <c r="H9" s="38">
        <f>COUNTIF('İşlemler'!$F$5:$F$22, A9) + COUNTIF('İşlemler'!$H$5:$H$22, A9)</f>
        <v>8</v>
      </c>
      <c r="I9" s="43">
        <f>SUMIFS('İşlemler'!$J$5:$J$22, 'İşlemler'!$F$5:$F$22, A9) + SUMIFS('İşlemler'!$J$5:$J$22, 'İşlemler'!$H$5:$H$22, A9, 'İşlemler'!$F$5:$F$22, "&lt;&gt;"&amp;A9)</f>
        <v>146</v>
      </c>
    </row>
    <row r="10" ht="15.75" customHeight="1">
      <c r="A10" s="8" t="s">
        <v>97</v>
      </c>
      <c r="B10" s="4" t="s">
        <v>98</v>
      </c>
      <c r="C10" s="4" t="s">
        <v>185</v>
      </c>
      <c r="D10" s="13">
        <f>SUMIFS('İşlemler'!$Q$5:$Q$22, 'İşlemler'!$F$5:$F$22, A10)</f>
        <v>5467.44</v>
      </c>
      <c r="E10" s="13">
        <f>SUMIFS('İşlemler'!$R$5:$R$22, 'İşlemler'!$H$5:$H$22, A10)</f>
        <v>6115.2</v>
      </c>
      <c r="F10" s="13">
        <f>IF(A10="TR-IST", 'İşlemler'!$N$23, 0)</f>
        <v>0</v>
      </c>
      <c r="G10" s="13">
        <f t="shared" si="1"/>
        <v>11582.64</v>
      </c>
      <c r="H10" s="38">
        <f>COUNTIF('İşlemler'!$F$5:$F$22, A10) + COUNTIF('İşlemler'!$H$5:$H$22, A10)</f>
        <v>4</v>
      </c>
      <c r="I10" s="43">
        <f>SUMIFS('İşlemler'!$J$5:$J$22, 'İşlemler'!$F$5:$F$22, A10) + SUMIFS('İşlemler'!$J$5:$J$22, 'İşlemler'!$H$5:$H$22, A10, 'İşlemler'!$F$5:$F$22, "&lt;&gt;"&amp;A10)</f>
        <v>77</v>
      </c>
    </row>
    <row r="11" ht="15.75" customHeight="1">
      <c r="A11" s="8" t="s">
        <v>106</v>
      </c>
      <c r="B11" s="4" t="s">
        <v>108</v>
      </c>
      <c r="C11" s="4" t="s">
        <v>186</v>
      </c>
      <c r="D11" s="13">
        <f>SUMIFS('İşlemler'!$Q$5:$Q$22, 'İşlemler'!$F$5:$F$22, A11)</f>
        <v>12368.93</v>
      </c>
      <c r="E11" s="13">
        <f>SUMIFS('İşlemler'!$R$5:$R$22, 'İşlemler'!$H$5:$H$22, A11)</f>
        <v>3423.6</v>
      </c>
      <c r="F11" s="13">
        <f>IF(A11="TR-IST", 'İşlemler'!$N$23, 0)</f>
        <v>0</v>
      </c>
      <c r="G11" s="13">
        <f t="shared" si="1"/>
        <v>15792.53</v>
      </c>
      <c r="H11" s="38">
        <f>COUNTIF('İşlemler'!$F$5:$F$22, A11) + COUNTIF('İşlemler'!$H$5:$H$22, A11)</f>
        <v>5</v>
      </c>
      <c r="I11" s="43">
        <f>SUMIFS('İşlemler'!$J$5:$J$22, 'İşlemler'!$F$5:$F$22, A11) + SUMIFS('İşlemler'!$J$5:$J$22, 'İşlemler'!$H$5:$H$22, A11, 'İşlemler'!$F$5:$F$22, "&lt;&gt;"&amp;A11)</f>
        <v>73.5</v>
      </c>
    </row>
    <row r="12" ht="15.75" customHeight="1">
      <c r="A12" s="8" t="s">
        <v>112</v>
      </c>
      <c r="B12" s="4" t="s">
        <v>113</v>
      </c>
      <c r="C12" s="4" t="s">
        <v>187</v>
      </c>
      <c r="D12" s="13">
        <f>SUMIFS('İşlemler'!$Q$5:$Q$22, 'İşlemler'!$F$5:$F$22, A12)</f>
        <v>10471.2</v>
      </c>
      <c r="E12" s="13">
        <f>SUMIFS('İşlemler'!$R$5:$R$22, 'İşlemler'!$H$5:$H$22, A12)</f>
        <v>4106.4</v>
      </c>
      <c r="F12" s="13">
        <f>IF(A12="TR-IST", 'İşlemler'!$N$23, 0)</f>
        <v>0</v>
      </c>
      <c r="G12" s="13">
        <f t="shared" si="1"/>
        <v>14577.6</v>
      </c>
      <c r="H12" s="38">
        <f>COUNTIF('İşlemler'!$F$5:$F$22, A12) + COUNTIF('İşlemler'!$H$5:$H$22, A12)</f>
        <v>4</v>
      </c>
      <c r="I12" s="43">
        <f>SUMIFS('İşlemler'!$J$5:$J$22, 'İşlemler'!$F$5:$F$22, A12) + SUMIFS('İşlemler'!$J$5:$J$22, 'İşlemler'!$H$5:$H$22, A12, 'İşlemler'!$F$5:$F$22, "&lt;&gt;"&amp;A12)</f>
        <v>58</v>
      </c>
    </row>
    <row r="13" ht="15.75" customHeight="1">
      <c r="A13" s="8" t="s">
        <v>117</v>
      </c>
      <c r="B13" s="4" t="s">
        <v>118</v>
      </c>
      <c r="C13" s="4" t="s">
        <v>190</v>
      </c>
      <c r="D13" s="13">
        <f>SUMIFS('İşlemler'!$Q$5:$Q$22, 'İşlemler'!$F$5:$F$22, A13)</f>
        <v>8572.7</v>
      </c>
      <c r="E13" s="13">
        <f>SUMIFS('İşlemler'!$R$5:$R$22, 'İşlemler'!$H$5:$H$22, A13)</f>
        <v>8459.55</v>
      </c>
      <c r="F13" s="13">
        <f>IF(A13="TR-IST", 'İşlemler'!$N$23, 0)</f>
        <v>0</v>
      </c>
      <c r="G13" s="13">
        <f t="shared" si="1"/>
        <v>17032.25</v>
      </c>
      <c r="H13" s="38">
        <f>COUNTIF('İşlemler'!$F$5:$F$22, A13) + COUNTIF('İşlemler'!$H$5:$H$22, A13)</f>
        <v>5</v>
      </c>
      <c r="I13" s="43">
        <f>SUMIFS('İşlemler'!$J$5:$J$22, 'İşlemler'!$F$5:$F$22, A13) + SUMIFS('İşlemler'!$J$5:$J$22, 'İşlemler'!$H$5:$H$22, A13, 'İşlemler'!$F$5:$F$22, "&lt;&gt;"&amp;A13)</f>
        <v>97.5</v>
      </c>
    </row>
    <row r="14" ht="15.75" customHeight="1">
      <c r="A14" s="8" t="s">
        <v>122</v>
      </c>
      <c r="B14" s="4" t="s">
        <v>123</v>
      </c>
      <c r="C14" s="4" t="s">
        <v>191</v>
      </c>
      <c r="D14" s="13">
        <f>SUMIFS('İşlemler'!$Q$5:$Q$22, 'İşlemler'!$F$5:$F$22, A14)</f>
        <v>8179.2</v>
      </c>
      <c r="E14" s="13">
        <f>SUMIFS('İşlemler'!$R$5:$R$22, 'İşlemler'!$H$5:$H$22, A14)</f>
        <v>11739.94</v>
      </c>
      <c r="F14" s="13">
        <f>IF(A14="TR-IST", 'İşlemler'!$N$23, 0)</f>
        <v>0</v>
      </c>
      <c r="G14" s="13">
        <f t="shared" si="1"/>
        <v>19919.14</v>
      </c>
      <c r="H14" s="38">
        <f>COUNTIF('İşlemler'!$F$5:$F$22, A14) + COUNTIF('İşlemler'!$H$5:$H$22, A14)</f>
        <v>5</v>
      </c>
      <c r="I14" s="43">
        <f>SUMIFS('İşlemler'!$J$5:$J$22, 'İşlemler'!$F$5:$F$22, A14) + SUMIFS('İşlemler'!$J$5:$J$22, 'İşlemler'!$H$5:$H$22, A14, 'İşlemler'!$F$5:$F$22, "&lt;&gt;"&amp;A14)</f>
        <v>107</v>
      </c>
    </row>
    <row r="15" ht="15.75" customHeight="1">
      <c r="A15" s="8" t="s">
        <v>127</v>
      </c>
      <c r="B15" s="4" t="s">
        <v>128</v>
      </c>
      <c r="C15" s="4" t="s">
        <v>192</v>
      </c>
      <c r="D15" s="13">
        <f>SUMIFS('İşlemler'!$Q$5:$Q$22, 'İşlemler'!$F$5:$F$22, A15)</f>
        <v>13577.2</v>
      </c>
      <c r="E15" s="13">
        <f>SUMIFS('İşlemler'!$R$5:$R$22, 'İşlemler'!$H$5:$H$22, A15)</f>
        <v>6301.6</v>
      </c>
      <c r="F15" s="13">
        <f>IF(A15="TR-IST", 'İşlemler'!$N$23, 0)</f>
        <v>31149.78</v>
      </c>
      <c r="G15" s="13">
        <f t="shared" si="1"/>
        <v>51028.58</v>
      </c>
      <c r="H15" s="38">
        <f>COUNTIF('İşlemler'!$F$5:$F$22, A15) + COUNTIF('İşlemler'!$H$5:$H$22, A15)</f>
        <v>5</v>
      </c>
      <c r="I15" s="43">
        <f>SUMIFS('İşlemler'!$J$5:$J$22, 'İşlemler'!$F$5:$F$22, A15) + SUMIFS('İşlemler'!$J$5:$J$22, 'İşlemler'!$H$5:$H$22, A15, 'İşlemler'!$F$5:$F$22, "&lt;&gt;"&amp;A15)</f>
        <v>115</v>
      </c>
    </row>
    <row r="16" ht="15.75" customHeight="1">
      <c r="A16" s="44" t="s">
        <v>195</v>
      </c>
      <c r="B16" s="45"/>
      <c r="C16" s="45"/>
      <c r="D16" s="46">
        <f t="shared" ref="D16:I16" si="2">SUM(D9:D15)</f>
        <v>75591.07</v>
      </c>
      <c r="E16" s="46">
        <f t="shared" si="2"/>
        <v>49008.05</v>
      </c>
      <c r="F16" s="46">
        <f t="shared" si="2"/>
        <v>31149.78</v>
      </c>
      <c r="G16" s="46">
        <f t="shared" si="2"/>
        <v>155748.9</v>
      </c>
      <c r="H16" s="47">
        <f t="shared" si="2"/>
        <v>36</v>
      </c>
      <c r="I16" s="48">
        <f t="shared" si="2"/>
        <v>674</v>
      </c>
    </row>
    <row r="17" ht="15.75" customHeight="1"/>
    <row r="18" ht="15.75" customHeight="1">
      <c r="A18" s="9" t="s">
        <v>196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ht="15.75" customHeight="1">
      <c r="A19" s="49" t="s">
        <v>197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</row>
    <row r="20" ht="15.75" customHeight="1">
      <c r="A20" s="51" t="s">
        <v>198</v>
      </c>
      <c r="D20" s="52" t="s">
        <v>199</v>
      </c>
      <c r="H20" s="53" t="s">
        <v>200</v>
      </c>
      <c r="M20" s="54" t="s">
        <v>201</v>
      </c>
      <c r="P20" s="55" t="s">
        <v>202</v>
      </c>
    </row>
    <row r="21" ht="15.75" customHeight="1">
      <c r="A21" s="56" t="s">
        <v>82</v>
      </c>
      <c r="B21" s="56" t="s">
        <v>86</v>
      </c>
      <c r="C21" s="57" t="s">
        <v>203</v>
      </c>
      <c r="D21" s="58" t="s">
        <v>90</v>
      </c>
      <c r="E21" s="59" t="s">
        <v>204</v>
      </c>
      <c r="F21" s="59" t="s">
        <v>205</v>
      </c>
      <c r="G21" s="59" t="s">
        <v>206</v>
      </c>
      <c r="H21" s="60" t="s">
        <v>110</v>
      </c>
      <c r="I21" s="61" t="s">
        <v>207</v>
      </c>
      <c r="J21" s="61" t="s">
        <v>208</v>
      </c>
      <c r="K21" s="60" t="s">
        <v>209</v>
      </c>
      <c r="L21" s="60" t="s">
        <v>210</v>
      </c>
      <c r="M21" s="62" t="s">
        <v>91</v>
      </c>
      <c r="N21" s="62" t="s">
        <v>92</v>
      </c>
      <c r="O21" s="63" t="s">
        <v>211</v>
      </c>
      <c r="P21" s="64" t="s">
        <v>212</v>
      </c>
    </row>
    <row r="22" ht="15.75" customHeight="1">
      <c r="A22" s="8" t="s">
        <v>66</v>
      </c>
      <c r="B22" s="4" t="str">
        <f t="shared" ref="B22:B28" si="3">C9</f>
        <v>Alman Müdür</v>
      </c>
      <c r="C22" s="13">
        <f t="shared" ref="C22:C28" si="4">G9</f>
        <v>25816.16</v>
      </c>
      <c r="D22" s="13">
        <f t="array" ref="D22">_xlfn.XLOOKUP(A22, Parametreler!$A$22:$A$28, Parametreler!$I$22:$I$28)</f>
        <v>25000</v>
      </c>
      <c r="E22" s="5">
        <f t="shared" ref="E22:E28" si="5">C22/D22</f>
        <v>1.0326464</v>
      </c>
      <c r="F22" s="5">
        <f>IF(E22&lt;Parametreler!$B$34, 0, IF(E22&lt;Parametreler!$B$35, Parametreler!$D$34, IF(E22&lt;Parametreler!$B$36, Parametreler!$D$35, IF(E22&lt;=Parametreler!$C$36, Parametreler!$D$36, 0))))</f>
        <v>0.1</v>
      </c>
      <c r="G22" s="65">
        <f t="shared" ref="G22:G28" si="6">ROUND(C22*F22, 2)</f>
        <v>2581.62</v>
      </c>
      <c r="H22" s="43">
        <f t="shared" ref="H22:H28" si="7">I9</f>
        <v>146</v>
      </c>
      <c r="I22" s="66">
        <f>IFERROR(COUNTIFS('İşlemler'!$H$5:$H$22, A22, 'İşlemler'!$L$5:$L$22, "Evet") / COUNTIF('İşlemler'!$H$5:$H$22, A22), 1)</f>
        <v>0.75</v>
      </c>
      <c r="J22" s="67">
        <f>IFS(I22&gt;=0.95, Parametreler!$C$43, I22&gt;=0.9, Parametreler!$C$44, I22&gt;=0.85, Parametreler!$C$45, TRUE, Parametreler!$C$46)</f>
        <v>0.5</v>
      </c>
      <c r="K22" s="68" t="str">
        <f>IF(E22&gt;=Parametreler!$C$41, "Barajı Geçti", "Barajı Geçemedi")</f>
        <v>Barajı Geçti</v>
      </c>
      <c r="L22" s="65">
        <f>IF(E22&gt;=Parametreler!$C$41, ROUND(H22*Parametreler!$C$42*J22, 2), 0)</f>
        <v>365</v>
      </c>
      <c r="M22" s="68">
        <f t="array" ref="M22">_xlfn.XLOOKUP(A22, Parametreler!$A$22:$A$28, Parametreler!$J$22:$J$28)</f>
        <v>0.105</v>
      </c>
      <c r="N22" s="5">
        <f t="array" ref="N22">_xlfn.XLOOKUP(A22, Parametreler!$A$22:$A$28, Parametreler!$K$22:$K$28)</f>
        <v>0.45</v>
      </c>
      <c r="O22" s="13">
        <f>(IF(M22&lt;Parametreler!$C$50, Parametreler!$D$50, 0) + IF(N22&gt;=Parametreler!$C$51, Parametreler!$D$51, 0))</f>
        <v>1500</v>
      </c>
      <c r="P22" s="65">
        <f t="shared" ref="P22:P28" si="8">G22+L22+O22</f>
        <v>4446.62</v>
      </c>
    </row>
    <row r="23" ht="15.75" customHeight="1">
      <c r="A23" s="8" t="s">
        <v>97</v>
      </c>
      <c r="B23" s="4" t="str">
        <f t="shared" si="3"/>
        <v>İtalyan Müdür</v>
      </c>
      <c r="C23" s="13">
        <f t="shared" si="4"/>
        <v>11582.64</v>
      </c>
      <c r="D23" s="13">
        <f t="array" ref="D23">_xlfn.XLOOKUP(A23, Parametreler!$A$22:$A$28, Parametreler!$I$22:$I$28)</f>
        <v>13500</v>
      </c>
      <c r="E23" s="5">
        <f t="shared" si="5"/>
        <v>0.8579733333</v>
      </c>
      <c r="F23" s="5">
        <f>IF(E23&lt;Parametreler!$B$34, 0, IF(E23&lt;Parametreler!$B$35, Parametreler!$D$34, IF(E23&lt;Parametreler!$B$36, Parametreler!$D$35, IF(E23&lt;=Parametreler!$C$36, Parametreler!$D$36, 0))))</f>
        <v>0</v>
      </c>
      <c r="G23" s="65">
        <f t="shared" si="6"/>
        <v>0</v>
      </c>
      <c r="H23" s="43">
        <f t="shared" si="7"/>
        <v>77</v>
      </c>
      <c r="I23" s="66">
        <f>IFERROR(COUNTIFS('İşlemler'!$H$5:$H$22, A23, 'İşlemler'!$L$5:$L$22, "Evet") / COUNTIF('İşlemler'!$H$5:$H$22, A23), 1)</f>
        <v>1</v>
      </c>
      <c r="J23" s="67">
        <f>IFS(I23&gt;=0.95, Parametreler!$C$43, I23&gt;=0.9, Parametreler!$C$44, I23&gt;=0.85, Parametreler!$C$45, TRUE, Parametreler!$C$46)</f>
        <v>1.25</v>
      </c>
      <c r="K23" s="68" t="str">
        <f>IF(E23&gt;=Parametreler!$C$41, "Barajı Geçti", "Barajı Geçemedi")</f>
        <v>Barajı Geçemedi</v>
      </c>
      <c r="L23" s="65">
        <f>IF(E23&gt;=Parametreler!$C$41, ROUND(H23*Parametreler!$C$42*J23, 2), 0)</f>
        <v>0</v>
      </c>
      <c r="M23" s="68">
        <f t="array" ref="M23">_xlfn.XLOOKUP(A23, Parametreler!$A$22:$A$28, Parametreler!$J$22:$J$28)</f>
        <v>0.14</v>
      </c>
      <c r="N23" s="5">
        <f t="array" ref="N23">_xlfn.XLOOKUP(A23, Parametreler!$A$22:$A$28, Parametreler!$K$22:$K$28)</f>
        <v>0.42</v>
      </c>
      <c r="O23" s="13">
        <f>(IF(M23&lt;Parametreler!$C$50, Parametreler!$D$50, 0) + IF(N23&gt;=Parametreler!$C$51, Parametreler!$D$51, 0))</f>
        <v>750</v>
      </c>
      <c r="P23" s="65">
        <f t="shared" si="8"/>
        <v>750</v>
      </c>
    </row>
    <row r="24" ht="15.75" customHeight="1">
      <c r="A24" s="8" t="s">
        <v>106</v>
      </c>
      <c r="B24" s="4" t="str">
        <f t="shared" si="3"/>
        <v>Fransız Müdür</v>
      </c>
      <c r="C24" s="13">
        <f t="shared" si="4"/>
        <v>15792.53</v>
      </c>
      <c r="D24" s="13">
        <f t="array" ref="D24">_xlfn.XLOOKUP(A24, Parametreler!$A$22:$A$28, Parametreler!$I$22:$I$28)</f>
        <v>16500</v>
      </c>
      <c r="E24" s="5">
        <f t="shared" si="5"/>
        <v>0.9571230303</v>
      </c>
      <c r="F24" s="5">
        <f>IF(E24&lt;Parametreler!$B$34, 0, IF(E24&lt;Parametreler!$B$35, Parametreler!$D$34, IF(E24&lt;Parametreler!$B$36, Parametreler!$D$35, IF(E24&lt;=Parametreler!$C$36, Parametreler!$D$36, 0))))</f>
        <v>0.05</v>
      </c>
      <c r="G24" s="65">
        <f t="shared" si="6"/>
        <v>789.63</v>
      </c>
      <c r="H24" s="43">
        <f t="shared" si="7"/>
        <v>73.5</v>
      </c>
      <c r="I24" s="66">
        <f>IFERROR(COUNTIFS('İşlemler'!$H$5:$H$22, A24, 'İşlemler'!$L$5:$L$22, "Evet") / COUNTIF('İşlemler'!$H$5:$H$22, A24), 1)</f>
        <v>1</v>
      </c>
      <c r="J24" s="67">
        <f>IFS(I24&gt;=0.95, Parametreler!$C$43, I24&gt;=0.9, Parametreler!$C$44, I24&gt;=0.85, Parametreler!$C$45, TRUE, Parametreler!$C$46)</f>
        <v>1.25</v>
      </c>
      <c r="K24" s="68" t="str">
        <f>IF(E24&gt;=Parametreler!$C$41, "Barajı Geçti", "Barajı Geçemedi")</f>
        <v>Barajı Geçti</v>
      </c>
      <c r="L24" s="65">
        <f>IF(E24&gt;=Parametreler!$C$41, ROUND(H24*Parametreler!$C$42*J24, 2), 0)</f>
        <v>459.38</v>
      </c>
      <c r="M24" s="68">
        <f t="array" ref="M24">_xlfn.XLOOKUP(A24, Parametreler!$A$22:$A$28, Parametreler!$J$22:$J$28)</f>
        <v>0.11</v>
      </c>
      <c r="N24" s="5">
        <f t="array" ref="N24">_xlfn.XLOOKUP(A24, Parametreler!$A$22:$A$28, Parametreler!$K$22:$K$28)</f>
        <v>0.38</v>
      </c>
      <c r="O24" s="13">
        <f>(IF(M24&lt;Parametreler!$C$50, Parametreler!$D$50, 0) + IF(N24&gt;=Parametreler!$C$51, Parametreler!$D$51, 0))</f>
        <v>750</v>
      </c>
      <c r="P24" s="65">
        <f t="shared" si="8"/>
        <v>1999.01</v>
      </c>
    </row>
    <row r="25" ht="15.75" customHeight="1">
      <c r="A25" s="8" t="s">
        <v>112</v>
      </c>
      <c r="B25" s="4" t="str">
        <f t="shared" si="3"/>
        <v>İspanyol Müdür</v>
      </c>
      <c r="C25" s="13">
        <f t="shared" si="4"/>
        <v>14577.6</v>
      </c>
      <c r="D25" s="13">
        <f t="array" ref="D25">_xlfn.XLOOKUP(A25, Parametreler!$A$22:$A$28, Parametreler!$I$22:$I$28)</f>
        <v>12000</v>
      </c>
      <c r="E25" s="5">
        <f t="shared" si="5"/>
        <v>1.2148</v>
      </c>
      <c r="F25" s="5">
        <f>IF(E25&lt;Parametreler!$B$34, 0, IF(E25&lt;Parametreler!$B$35, Parametreler!$D$34, IF(E25&lt;Parametreler!$B$36, Parametreler!$D$35, IF(E25&lt;=Parametreler!$C$36, Parametreler!$D$36, 0))))</f>
        <v>0.15</v>
      </c>
      <c r="G25" s="65">
        <f t="shared" si="6"/>
        <v>2186.64</v>
      </c>
      <c r="H25" s="43">
        <f t="shared" si="7"/>
        <v>58</v>
      </c>
      <c r="I25" s="66">
        <f>IFERROR(COUNTIFS('İşlemler'!$H$5:$H$22, A25, 'İşlemler'!$L$5:$L$22, "Evet") / COUNTIF('İşlemler'!$H$5:$H$22, A25), 1)</f>
        <v>1</v>
      </c>
      <c r="J25" s="67">
        <f>IFS(I25&gt;=0.95, Parametreler!$C$43, I25&gt;=0.9, Parametreler!$C$44, I25&gt;=0.85, Parametreler!$C$45, TRUE, Parametreler!$C$46)</f>
        <v>1.25</v>
      </c>
      <c r="K25" s="68" t="str">
        <f>IF(E25&gt;=Parametreler!$C$41, "Barajı Geçti", "Barajı Geçemedi")</f>
        <v>Barajı Geçti</v>
      </c>
      <c r="L25" s="65">
        <f>IF(E25&gt;=Parametreler!$C$41, ROUND(H25*Parametreler!$C$42*J25, 2), 0)</f>
        <v>362.5</v>
      </c>
      <c r="M25" s="68">
        <f t="array" ref="M25">_xlfn.XLOOKUP(A25, Parametreler!$A$22:$A$28, Parametreler!$J$22:$J$28)</f>
        <v>0.095</v>
      </c>
      <c r="N25" s="5">
        <f t="array" ref="N25">_xlfn.XLOOKUP(A25, Parametreler!$A$22:$A$28, Parametreler!$K$22:$K$28)</f>
        <v>0.48</v>
      </c>
      <c r="O25" s="13">
        <f>(IF(M25&lt;Parametreler!$C$50, Parametreler!$D$50, 0) + IF(N25&gt;=Parametreler!$C$51, Parametreler!$D$51, 0))</f>
        <v>1500</v>
      </c>
      <c r="P25" s="65">
        <f t="shared" si="8"/>
        <v>4049.14</v>
      </c>
    </row>
    <row r="26" ht="15.75" customHeight="1">
      <c r="A26" s="8" t="s">
        <v>117</v>
      </c>
      <c r="B26" s="4" t="str">
        <f t="shared" si="3"/>
        <v>Polonyalı Müdür</v>
      </c>
      <c r="C26" s="13">
        <f t="shared" si="4"/>
        <v>17032.25</v>
      </c>
      <c r="D26" s="13">
        <f t="array" ref="D26">_xlfn.XLOOKUP(A26, Parametreler!$A$22:$A$28, Parametreler!$I$22:$I$28)</f>
        <v>20500</v>
      </c>
      <c r="E26" s="5">
        <f t="shared" si="5"/>
        <v>0.8308414634</v>
      </c>
      <c r="F26" s="5">
        <f>IF(E26&lt;Parametreler!$B$34, 0, IF(E26&lt;Parametreler!$B$35, Parametreler!$D$34, IF(E26&lt;Parametreler!$B$36, Parametreler!$D$35, IF(E26&lt;=Parametreler!$C$36, Parametreler!$D$36, 0))))</f>
        <v>0</v>
      </c>
      <c r="G26" s="65">
        <f t="shared" si="6"/>
        <v>0</v>
      </c>
      <c r="H26" s="43">
        <f t="shared" si="7"/>
        <v>97.5</v>
      </c>
      <c r="I26" s="66">
        <f>IFERROR(COUNTIFS('İşlemler'!$H$5:$H$22, A26, 'İşlemler'!$L$5:$L$22, "Evet") / COUNTIF('İşlemler'!$H$5:$H$22, A26), 1)</f>
        <v>0.6666666667</v>
      </c>
      <c r="J26" s="67">
        <f>IFS(I26&gt;=0.95, Parametreler!$C$43, I26&gt;=0.9, Parametreler!$C$44, I26&gt;=0.85, Parametreler!$C$45, TRUE, Parametreler!$C$46)</f>
        <v>0.5</v>
      </c>
      <c r="K26" s="68" t="str">
        <f>IF(E26&gt;=Parametreler!$C$41, "Barajı Geçti", "Barajı Geçemedi")</f>
        <v>Barajı Geçemedi</v>
      </c>
      <c r="L26" s="65">
        <f>IF(E26&gt;=Parametreler!$C$41, ROUND(H26*Parametreler!$C$42*J26, 2), 0)</f>
        <v>0</v>
      </c>
      <c r="M26" s="68">
        <f t="array" ref="M26">_xlfn.XLOOKUP(A26, Parametreler!$A$22:$A$28, Parametreler!$J$22:$J$28)</f>
        <v>0.132</v>
      </c>
      <c r="N26" s="5">
        <f t="array" ref="N26">_xlfn.XLOOKUP(A26, Parametreler!$A$22:$A$28, Parametreler!$K$22:$K$28)</f>
        <v>0.35</v>
      </c>
      <c r="O26" s="13">
        <f>(IF(M26&lt;Parametreler!$C$50, Parametreler!$D$50, 0) + IF(N26&gt;=Parametreler!$C$51, Parametreler!$D$51, 0))</f>
        <v>0</v>
      </c>
      <c r="P26" s="65">
        <f t="shared" si="8"/>
        <v>0</v>
      </c>
    </row>
    <row r="27" ht="15.75" customHeight="1">
      <c r="A27" s="8" t="s">
        <v>122</v>
      </c>
      <c r="B27" s="4" t="str">
        <f t="shared" si="3"/>
        <v>Romanyalı Müdür</v>
      </c>
      <c r="C27" s="13">
        <f t="shared" si="4"/>
        <v>19919.14</v>
      </c>
      <c r="D27" s="13">
        <f t="array" ref="D27">_xlfn.XLOOKUP(A27, Parametreler!$A$22:$A$28, Parametreler!$I$22:$I$28)</f>
        <v>15500</v>
      </c>
      <c r="E27" s="5">
        <f t="shared" si="5"/>
        <v>1.285105806</v>
      </c>
      <c r="F27" s="5">
        <f>IF(E27&lt;Parametreler!$B$34, 0, IF(E27&lt;Parametreler!$B$35, Parametreler!$D$34, IF(E27&lt;Parametreler!$B$36, Parametreler!$D$35, IF(E27&lt;=Parametreler!$C$36, Parametreler!$D$36, 0))))</f>
        <v>0</v>
      </c>
      <c r="G27" s="65">
        <f t="shared" si="6"/>
        <v>0</v>
      </c>
      <c r="H27" s="43">
        <f t="shared" si="7"/>
        <v>107</v>
      </c>
      <c r="I27" s="66">
        <f>IFERROR(COUNTIFS('İşlemler'!$H$5:$H$22, A27, 'İşlemler'!$L$5:$L$22, "Evet") / COUNTIF('İşlemler'!$H$5:$H$22, A27), 1)</f>
        <v>0.6666666667</v>
      </c>
      <c r="J27" s="67">
        <f>IFS(I27&gt;=0.95, Parametreler!$C$43, I27&gt;=0.9, Parametreler!$C$44, I27&gt;=0.85, Parametreler!$C$45, TRUE, Parametreler!$C$46)</f>
        <v>0.5</v>
      </c>
      <c r="K27" s="68" t="str">
        <f>IF(E27&gt;=Parametreler!$C$41, "Barajı Geçti", "Barajı Geçemedi")</f>
        <v>Barajı Geçti</v>
      </c>
      <c r="L27" s="65">
        <f>IF(E27&gt;=Parametreler!$C$41, ROUND(H27*Parametreler!$C$42*J27, 2), 0)</f>
        <v>267.5</v>
      </c>
      <c r="M27" s="68">
        <f t="array" ref="M27">_xlfn.XLOOKUP(A27, Parametreler!$A$22:$A$28, Parametreler!$J$22:$J$28)</f>
        <v>0.115</v>
      </c>
      <c r="N27" s="5">
        <f t="array" ref="N27">_xlfn.XLOOKUP(A27, Parametreler!$A$22:$A$28, Parametreler!$K$22:$K$28)</f>
        <v>0.52</v>
      </c>
      <c r="O27" s="13">
        <f>(IF(M27&lt;Parametreler!$C$50, Parametreler!$D$50, 0) + IF(N27&gt;=Parametreler!$C$51, Parametreler!$D$51, 0))</f>
        <v>1500</v>
      </c>
      <c r="P27" s="65">
        <f t="shared" si="8"/>
        <v>1767.5</v>
      </c>
    </row>
    <row r="28" ht="15.75" customHeight="1">
      <c r="A28" s="44" t="s">
        <v>127</v>
      </c>
      <c r="B28" s="45" t="str">
        <f t="shared" si="3"/>
        <v>Türk Müdür</v>
      </c>
      <c r="C28" s="46">
        <f t="shared" si="4"/>
        <v>51028.58</v>
      </c>
      <c r="D28" s="46">
        <f t="array" ref="D28">_xlfn.XLOOKUP(A28, Parametreler!$A$22:$A$28, Parametreler!$I$22:$I$28)</f>
        <v>47000</v>
      </c>
      <c r="E28" s="69">
        <f t="shared" si="5"/>
        <v>1.085714468</v>
      </c>
      <c r="F28" s="69">
        <f>IF(E28&lt;Parametreler!$B$34, 0, IF(E28&lt;Parametreler!$B$35, Parametreler!$D$34, IF(E28&lt;Parametreler!$B$36, Parametreler!$D$35, IF(E28&lt;=Parametreler!$C$36, Parametreler!$D$36, 0))))</f>
        <v>0.1</v>
      </c>
      <c r="G28" s="70">
        <f t="shared" si="6"/>
        <v>5102.86</v>
      </c>
      <c r="H28" s="48">
        <f t="shared" si="7"/>
        <v>115</v>
      </c>
      <c r="I28" s="71">
        <f>IFERROR(COUNTIFS('İşlemler'!$H$5:$H$22, A28, 'İşlemler'!$L$5:$L$22, "Evet") / COUNTIF('İşlemler'!$H$5:$H$22, A28), 1)</f>
        <v>1</v>
      </c>
      <c r="J28" s="72">
        <f>IFS(I28&gt;=0.95, Parametreler!$C$43, I28&gt;=0.9, Parametreler!$C$44, I28&gt;=0.85, Parametreler!$C$45, TRUE, Parametreler!$C$46)</f>
        <v>1.25</v>
      </c>
      <c r="K28" s="73" t="str">
        <f>IF(E28&gt;=Parametreler!$C$41, "Barajı Geçti", "Barajı Geçemedi")</f>
        <v>Barajı Geçti</v>
      </c>
      <c r="L28" s="70">
        <f>IF(E28&gt;=Parametreler!$C$41, ROUND(H28*Parametreler!$C$42*J28, 2), 0)</f>
        <v>718.75</v>
      </c>
      <c r="M28" s="73">
        <f t="array" ref="M28">_xlfn.XLOOKUP(A28, Parametreler!$A$22:$A$28, Parametreler!$J$22:$J$28)</f>
        <v>0.08</v>
      </c>
      <c r="N28" s="69">
        <f t="array" ref="N28">_xlfn.XLOOKUP(A28, Parametreler!$A$22:$A$28, Parametreler!$K$22:$K$28)</f>
        <v>0.6</v>
      </c>
      <c r="O28" s="46">
        <f>(IF(M28&lt;Parametreler!$C$50, Parametreler!$D$50, 0) + IF(N28&gt;=Parametreler!$C$51, Parametreler!$D$51, 0))</f>
        <v>1500</v>
      </c>
      <c r="P28" s="65">
        <f t="shared" si="8"/>
        <v>7321.61</v>
      </c>
    </row>
    <row r="29" ht="15.75" customHeight="1">
      <c r="A29" s="74" t="s">
        <v>195</v>
      </c>
      <c r="B29" s="74" t="s">
        <v>227</v>
      </c>
      <c r="C29" s="75">
        <f t="shared" ref="C29:D29" si="9">SUM(C22:C28)</f>
        <v>155748.9</v>
      </c>
      <c r="D29" s="75">
        <f t="shared" si="9"/>
        <v>150000</v>
      </c>
      <c r="E29" s="76">
        <f>AVERAGE(E22:E28)</f>
        <v>1.0377435</v>
      </c>
      <c r="F29" s="74" t="s">
        <v>227</v>
      </c>
      <c r="G29" s="77">
        <f t="shared" ref="G29:H29" si="10">SUM(G22:G28)</f>
        <v>10660.75</v>
      </c>
      <c r="H29" s="78">
        <f t="shared" si="10"/>
        <v>674</v>
      </c>
      <c r="I29" s="79">
        <f t="shared" ref="I29:J29" si="11">AVERAGE(I22:I28)</f>
        <v>0.869047619</v>
      </c>
      <c r="J29" s="80">
        <f t="shared" si="11"/>
        <v>0.9285714286</v>
      </c>
      <c r="K29" s="74" t="s">
        <v>227</v>
      </c>
      <c r="L29" s="77">
        <f>SUM(L22:L28)</f>
        <v>2173.13</v>
      </c>
      <c r="M29" s="76">
        <f t="shared" ref="M29:N29" si="12">AVERAGE(M22:M28)</f>
        <v>0.111</v>
      </c>
      <c r="N29" s="76">
        <f t="shared" si="12"/>
        <v>0.4571428571</v>
      </c>
      <c r="O29" s="75">
        <f t="shared" ref="O29:P29" si="13">SUM(O22:O28)</f>
        <v>7500</v>
      </c>
      <c r="P29" s="77">
        <f t="shared" si="13"/>
        <v>20333.88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5:F5"/>
    <mergeCell ref="G5:H5"/>
    <mergeCell ref="A20:C20"/>
    <mergeCell ref="D20:G20"/>
    <mergeCell ref="H20:L20"/>
    <mergeCell ref="M20:O20"/>
    <mergeCell ref="A4:B4"/>
    <mergeCell ref="C4:D4"/>
    <mergeCell ref="E4:F4"/>
    <mergeCell ref="G4:H4"/>
    <mergeCell ref="I4:J4"/>
    <mergeCell ref="A5:B5"/>
    <mergeCell ref="C5:D5"/>
    <mergeCell ref="I5:J5"/>
  </mergeCells>
  <conditionalFormatting sqref="K22:K28">
    <cfRule type="cellIs" dxfId="0" priority="1" stopIfTrue="1" operator="equal">
      <formula>"Barajı Geçti"</formula>
    </cfRule>
  </conditionalFormatting>
  <conditionalFormatting sqref="K22:K28">
    <cfRule type="cellIs" dxfId="1" priority="2" stopIfTrue="1" operator="equal">
      <formula>"Barajı Geçemedi"</formula>
    </cfRule>
  </conditionalFormatting>
  <drawing r:id="rId1"/>
</worksheet>
</file>